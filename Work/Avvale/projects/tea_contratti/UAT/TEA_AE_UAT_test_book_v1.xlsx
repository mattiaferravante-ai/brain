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egita0-my.sharepoint.com/personal/mattia_ferravante_avvale_com/Documents/Documenti/Brain/Work/Avvale/projects/tea_contratti/UAT/"/>
    </mc:Choice>
  </mc:AlternateContent>
  <xr:revisionPtr revIDLastSave="5" documentId="11_60F44F290A97AC32FBB1598E25AFD266EEFCDF14" xr6:coauthVersionLast="47" xr6:coauthVersionMax="47" xr10:uidLastSave="{1A14D7CA-2180-49EA-BF82-B223CC70DEA0}"/>
  <bookViews>
    <workbookView xWindow="-28920" yWindow="-120" windowWidth="29040" windowHeight="15720" activeTab="1" xr2:uid="{00000000-000D-0000-FFFF-FFFF00000000}"/>
  </bookViews>
  <sheets>
    <sheet name="Summary" sheetId="1" r:id="rId1"/>
    <sheet name="Test book - Funzionale" sheetId="2" r:id="rId2"/>
    <sheet name="Test book - Tecnico" sheetId="3" r:id="rId3"/>
    <sheet name="Data valida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1" l="1"/>
  <c r="D24" i="1"/>
  <c r="C24" i="1"/>
  <c r="B24" i="1"/>
  <c r="E23" i="1"/>
  <c r="D23" i="1"/>
  <c r="C23" i="1"/>
  <c r="B23" i="1"/>
  <c r="E22" i="1"/>
  <c r="D22" i="1"/>
  <c r="C22" i="1"/>
  <c r="B22" i="1"/>
  <c r="E21" i="1"/>
  <c r="D21" i="1"/>
  <c r="C21" i="1"/>
  <c r="B21" i="1"/>
  <c r="E20" i="1"/>
  <c r="D20" i="1"/>
  <c r="C20" i="1"/>
  <c r="B20" i="1"/>
  <c r="E19" i="1"/>
  <c r="D19" i="1"/>
  <c r="C19" i="1"/>
  <c r="B19" i="1"/>
  <c r="E18" i="1"/>
  <c r="D18" i="1"/>
  <c r="C18" i="1"/>
  <c r="B18" i="1"/>
  <c r="E17" i="1"/>
  <c r="D17" i="1"/>
  <c r="C17" i="1"/>
  <c r="B17" i="1"/>
  <c r="D13" i="1"/>
  <c r="C13" i="1"/>
  <c r="B13" i="1"/>
  <c r="D12" i="1"/>
  <c r="C12" i="1"/>
  <c r="B12" i="1"/>
  <c r="B8" i="1"/>
  <c r="B7" i="1"/>
  <c r="B6" i="1"/>
  <c r="B5" i="1"/>
  <c r="B4" i="1"/>
  <c r="B3" i="1"/>
  <c r="B2" i="1"/>
</calcChain>
</file>

<file path=xl/sharedStrings.xml><?xml version="1.0" encoding="utf-8"?>
<sst xmlns="http://schemas.openxmlformats.org/spreadsheetml/2006/main" count="389" uniqueCount="268">
  <si>
    <t>TOTALI GENERALI</t>
  </si>
  <si>
    <t>Totale test case</t>
  </si>
  <si>
    <t>Da eseguire</t>
  </si>
  <si>
    <t>Superato</t>
  </si>
  <si>
    <t>Da ripetere</t>
  </si>
  <si>
    <t>Fallito</t>
  </si>
  <si>
    <t>Bloccato</t>
  </si>
  <si>
    <t>Rimandato</t>
  </si>
  <si>
    <t>PER FOGLIO</t>
  </si>
  <si>
    <t>Foglio</t>
  </si>
  <si>
    <t>Test Case</t>
  </si>
  <si>
    <t>Superati</t>
  </si>
  <si>
    <t>Falliti</t>
  </si>
  <si>
    <t>Test book - Funzionale</t>
  </si>
  <si>
    <t>Test book - Tecnico</t>
  </si>
  <si>
    <t>PER AREA</t>
  </si>
  <si>
    <t>Area</t>
  </si>
  <si>
    <t>F — Test</t>
  </si>
  <si>
    <t>F — Superati</t>
  </si>
  <si>
    <t>T — Test</t>
  </si>
  <si>
    <t>T — Superati</t>
  </si>
  <si>
    <t>Login &amp; Navigazione</t>
  </si>
  <si>
    <t>Anagrafica CER</t>
  </si>
  <si>
    <t>Pipeline CRM — Gestione Opportunità</t>
  </si>
  <si>
    <t>Offerta Rifiuti Speciali</t>
  </si>
  <si>
    <t>Offerta TMB</t>
  </si>
  <si>
    <t>Contratto Discarica</t>
  </si>
  <si>
    <t>Firma Digitale &amp; Accettazione</t>
  </si>
  <si>
    <t>Documenti Cliente &amp; Chiusura</t>
  </si>
  <si>
    <t>ID</t>
  </si>
  <si>
    <t>Step ID</t>
  </si>
  <si>
    <t>Titolo</t>
  </si>
  <si>
    <t>Pre-Requisiti</t>
  </si>
  <si>
    <t>Descrizione Passaggi</t>
  </si>
  <si>
    <t>Risultato Atteso</t>
  </si>
  <si>
    <t>Esito Test</t>
  </si>
  <si>
    <t>Data Test</t>
  </si>
  <si>
    <t>Tester</t>
  </si>
  <si>
    <t>Note</t>
  </si>
  <si>
    <t>Area 1 — Login &amp; Navigazione
Il sistema Odoo è accessibile tramite browser da qualsiasi postazione aziendale. Ogni utente TEA A&amp;E accede con le proprie credenziali e visualizza il menu 'Gestione Rifiuti' con le sezioni previste per il proprio ruolo. Questi test verificano che l'accesso funzioni correttamente e che ciascun utente veda solo le funzioni di propria competenza (Commerciale, Approvatore, Backoffice).</t>
  </si>
  <si>
    <t>Accesso con profilo Commerciale</t>
  </si>
  <si>
    <t>Credenziali utente Commerciale (Noemi Menegazzo) disponibili e comunicate.</t>
  </si>
  <si>
    <t>1. Apri il browser e vai all'indirizzo del sistema Odoo.
2. Inserisci nome utente e password del profilo Commerciale.
3. Clicca su 'Accedi'.
4. Verifica che nel menu principale sia visibile la voce 'Gestione Rifiuti'.
5. Espandi il menu e controlla che siano presenti: Anagrafica CER, Offerte, Listino Fornitori.</t>
  </si>
  <si>
    <t>L'accesso avviene correttamente. Il menu 'Gestione Rifiuti' è visibile con le sezioni Anagrafica CER, Offerte e Listino Fornitori. Il menu 'Configurazione' non è presente.</t>
  </si>
  <si>
    <t>to be tested</t>
  </si>
  <si>
    <t>Accesso con profilo Approvatore</t>
  </si>
  <si>
    <t>Credenziali utente Approvatore (Andrea Bassoli) disponibili.</t>
  </si>
  <si>
    <t>1. Se già connesso, esegui il logout.
2. Accedi con le credenziali del profilo Approvatore (Andrea Bassoli).
3. Espandi il menu 'Gestione Rifiuti'.
4. Verifica quali voci di menu sono visibili.</t>
  </si>
  <si>
    <t>Il profilo Approvatore vede solo la voce 'Offerte' in Gestione Rifiuti. Le voci Anagrafica CER, Listino Fornitori e Configurazione non sono visibili.</t>
  </si>
  <si>
    <t>Area 2 — Anagrafica CER
Il catalogo prodotti CER contiene tutti i codici rifiuto gestiti da TEA A&amp;E, con i relativi impianti di destinazione e i prezzi del listino fornitori. Il personale commerciale può consultare prodotti e impianti per verificare la disponibilità di trattamento e i prezzi prima di preparare un'offerta. Questi test verificano che le informazioni anagrafiche siano correttamente caricate, consultabili e coerenti con i dati forniti.</t>
  </si>
  <si>
    <t>Ricerca e consultazione prodotto CER</t>
  </si>
  <si>
    <t>Accesso con profilo Commerciale.</t>
  </si>
  <si>
    <t>1. Dal menu 'Gestione Rifiuti', clicca su 'Anagrafica CER' → 'Prodotti CER'.
2. Nella barra di ricerca inserisci parte di un codice rifiuto (es. '020104').
3. Clicca sul prodotto trovato per aprire il dettaglio.
4. Verifica che siano visibili: codice rifiuto, descrizione, stato fisico.
5. Scorri verso il basso e verifica la sezione Listino Fornitori con gli impianti disponibili e i prezzi di acquisto.</t>
  </si>
  <si>
    <t>Il prodotto è trovato. Il dettaglio mostra codice, descrizione, stato fisico e il listino con gli impianti disponibili e i rispettivi prezzi di acquisto.</t>
  </si>
  <si>
    <t>Consultazione impianti di trattamento</t>
  </si>
  <si>
    <t>1. Dal menu 'Gestione Rifiuti', clicca su 'Listino Fornitori' → 'Impianti di Trattamento'.
2. Cerca un impianto per nome nella barra di ricerca.
3. Apri il dettaglio dell'impianto.
4. Verifica che siano presenti ragione sociale, indirizzo e il flag 'Impianto di Trattamento' attivo.</t>
  </si>
  <si>
    <t>L'impianto è trovato e il dettaglio mostra correttamente i dati anagrafici e il flag 'Impianto di Trattamento' attivo.</t>
  </si>
  <si>
    <t>Area 3 — Pipeline CRM — Gestione Opportunità
Il processo commerciale di TEA A&amp;E si svolge attraverso 6 fasi consecutive: dalla ricezione della richiesta del cliente (Nuovo) fino alla conclusione del contratto (Offerta accettata). Il sistema guida il commerciale in ogni fase, verificando che le condizioni necessarie siano soddisfatte prima di consentire l'avanzamento. Questi test coprono l'intero flusso per tutte e tre le tipologie: Rifiuti Speciali, TMB e Discarica.</t>
  </si>
  <si>
    <t>Creazione nuova opportunità — Rifiuti Speciali</t>
  </si>
  <si>
    <t>Accesso con profilo Commerciale. Cliente già presente in anagrafica.</t>
  </si>
  <si>
    <t>1. Vai al menu 'CRM' e clicca su 'Nuovo' per creare un'opportunità.
2. Inserisci il nome dell'opportunità (es. 'RS - Cliente Test - 2026').
3. Seleziona il cliente dall'anagrafica e il contatto di riferimento.
4. Nel campo 'Tipologia', seleziona 'Rifiuti Speciali'.
5. Verifica che il campo 'Referente Commerciale' sia già impostato con il tuo utente.
6. Salva.</t>
  </si>
  <si>
    <t>L'opportunità viene creata nello stage 'Nuovo' con tipologia 'Rifiuti Speciali' e referente commerciale impostato. È visibile nella vista kanban del CRM.</t>
  </si>
  <si>
    <t>Verifica blocco avanzamento senza tipologia</t>
  </si>
  <si>
    <t>Nuova opportunità creata senza impostare la tipologia.</t>
  </si>
  <si>
    <t>1. Crea una nuova opportunità senza selezionare la tipologia.
2. Tenta di spostarla sullo stage 'Preso in carico' trascinando la card o modificando il campo Stage.
3. Osserva il messaggio restituito dal sistema.</t>
  </si>
  <si>
    <t>Il sistema blocca l'avanzamento e mostra un messaggio di errore che richiede di impostare la tipologia prima di poter procedere.</t>
  </si>
  <si>
    <t>Avanzamento a 'Preso in carico' e compilazione documentazione (RS)</t>
  </si>
  <si>
    <t>Opportunità RS in fase 'Nuovo' con tipologia impostata.</t>
  </si>
  <si>
    <t>1. Apri l'opportunità RS.
2. Sposta lo stage su 'Preso in carico'.
3. Apri il tab 'Gestione Rifiuti'.
4. Compila i 4 campi di documentazione: Foto sopralluogo, Sopralluogo effettuato, Informazioni impianto, Informazioni cliente — imposta ciascuno come 'Completato' o 'Non necessario'.
5. Salva.</t>
  </si>
  <si>
    <t>L'opportunità avanza a 'Preso in carico'. I 4 campi documentazione mostrano lo stato selezionato con indicatore colorato (verde = completato).</t>
  </si>
  <si>
    <t>Avanzamento a 'Elaborazione proposta' con creazione automatica offerta (RS)</t>
  </si>
  <si>
    <t>Opportunità RS in 'Preso in carico' con tutti e 4 i campi documentazione completati.</t>
  </si>
  <si>
    <t>1. Con l'opportunità in 'Preso in carico' e documentazione completa, sposta lo stage su 'Elaborazione proposta'.
2. Verifica che in alto nella scheda compaia il pulsante 'Offerte' con il contatore.
3. Clicca sul pulsante 'Offerte' per aprire l'offerta creata automaticamente.
4. Verifica che l'offerta sia in stato 'Bozza' e del tipo 'Rifiuti Speciali'.</t>
  </si>
  <si>
    <t>L'opportunità avanza a 'Elaborazione proposta'. Il sistema crea automaticamente una bozza di offerta Rifiuti Speciali collegata all'opportunità. Lo stato dell'offerta è 'Bozza'.</t>
  </si>
  <si>
    <t>Creazione opportunità TMB — flusso senza documentazione obbligatoria</t>
  </si>
  <si>
    <t>Accesso con profilo Commerciale. Cliente presente in anagrafica.</t>
  </si>
  <si>
    <t>1. Crea una nuova opportunità con tipologia 'TMB'.
2. Compila cliente, contatto e referente commerciale.
3. Avanza a 'Preso in carico'.
4. Avanza direttamente a 'Elaborazione proposta' (senza compilare i 4 campi documentazione).
5. Verifica che l'offerta TMB venga creata automaticamente.</t>
  </si>
  <si>
    <t>Per le opportunità TMB l'avanzamento a 'Elaborazione proposta' non richiede la compilazione dei 4 campi documentazione (requisito solo per RS). L'offerta TMB viene creata automaticamente in stato 'Bozza'.</t>
  </si>
  <si>
    <t>Creazione opportunità Discarica — flusso base</t>
  </si>
  <si>
    <t>1. Crea una nuova opportunità con tipologia 'Discarica'.
2. Compila cliente, contatto e referente commerciale.
3. Se necessario, imposta il flag 'Fidejussione prevista'.
4. Avanza a 'Preso in carico' e poi a 'Elaborazione proposta'.
5. Verifica che il contratto Discarica venga creato automaticamente.</t>
  </si>
  <si>
    <t>L'opportunità Discarica avanza correttamente. Il contratto Discarica viene creato automaticamente in stato 'Bozza'.</t>
  </si>
  <si>
    <t>Area 4 — Offerta Rifiuti Speciali
L'offerta Rifiuti Speciali è il documento più utilizzato da TEA A&amp;E (circa 400-500 offerte/anno). Il commerciale aggiunge le righe con i codici rifiuto richiesti dal cliente, seleziona l'impianto di destinazione e il sistema calcola automaticamente i prezzi di vendita partendo dal listino fornitori. L'offerta viene poi inviata internamente per l'approvazione prima di essere mandata al cliente.</t>
  </si>
  <si>
    <t>Aggiunta righe CER e verifica calcolo automatico prezzi</t>
  </si>
  <si>
    <t>Offerta RS in stato 'Bozza' aperta dall'opportunità. Listino fornitori caricato.</t>
  </si>
  <si>
    <t>1. Apri l'offerta RS dalla scheda dell'opportunità (pulsante 'Offerte').
2. Nel tab 'Righe CER', clicca su 'Aggiungi una riga'.
3. Seleziona un codice rifiuto dalla lista (es. cerca per descrizione o codice).
4. Seleziona l'impianto di destinazione dal menu a tendina.
5. Verifica che il sistema compili automaticamente il costo di acquisto, il markup e il prezzo di vendita.
6. Aggiungi una seconda riga con un altro codice rifiuto.
7. Salva l'offerta.</t>
  </si>
  <si>
    <t>Le righe CER vengono aggiunte correttamente. Per ogni riga, costo, markup e prezzo di vendita vengono calcolati automaticamente dal listino. I valori sono coerenti tra loro (prezzo vendita = costo + markup).</t>
  </si>
  <si>
    <t>Modifica manuale del markup su una riga CER</t>
  </si>
  <si>
    <t>Offerta RS in bozza con almeno una riga CER compilata.</t>
  </si>
  <si>
    <t>1. Apri l'offerta RS.
2. Su una riga CER, modifica il valore del campo 'Mark Up %' inserendo una percentuale diversa (es. cambia da 20% a 25%).
3. Clicca fuori dal campo e osserva l'aggiornamento automatico.
4. Prova anche a modificare direttamente il 'Prezzo di vendita' e verifica il ricalcolo del costo e del markup.
5. Salva.</t>
  </si>
  <si>
    <t>Modificando il markup, il prezzo di vendita si aggiorna automaticamente. Modificando il prezzo di vendita, costo e markup si ricalcolano. I tre valori sono sempre coerenti tra loro.</t>
  </si>
  <si>
    <t>Aggiunta servizi aggiuntivi per riga e servizi generali</t>
  </si>
  <si>
    <t>Offerta RS in bozza con almeno due righe CER.</t>
  </si>
  <si>
    <t>1. Su una riga CER, espandi i dettagli e aggiungi un servizio aggiuntivo (es. 'Trasporto a ragno'): inserisci tipo di servizio e prezzo.
2. Aggiungi un secondo servizio aggiuntivo sulla stessa riga (es. 'Analisi').
3. Vai nel tab 'Servizi Generali' e aggiungi un servizio cumulativo (es. 'Trasporto furgone'): compila descrizione e prezzo.
4. Salva l'offerta.</t>
  </si>
  <si>
    <t>I servizi aggiuntivi per riga vengono aggiunti correttamente accanto alla riga CER. I servizi generali compaiono nella sezione dedicata. Tutti i prezzi sono visibili e salvati correttamente.</t>
  </si>
  <si>
    <t>Anteprima PDF offerta RS</t>
  </si>
  <si>
    <t>1. Apri l'offerta RS.
2. Clicca il pulsante 'Apri PDF'.
3. Verifica nel PDF: intestazione TEA A&amp;E, dati del cliente e contatto, righe CER con le descrizioni e i prezzi di vendita al cliente, note offerta.
4. Controlla che non siano visibili informazioni interne (es. stato fisico del rifiuto, codici HP, operazione R/D, costi di acquisto).</t>
  </si>
  <si>
    <t>Il PDF viene generato e si apre nel browser. Contiene tutte le informazioni necessarie per il cliente in formato professionale. I dati tecnici interni (costi acquisto, HP, operazione R/D, stato fisico) non sono visibili nella versione destinata al cliente.</t>
  </si>
  <si>
    <t>Invio offerta RS in approvazione</t>
  </si>
  <si>
    <t>Offerta RS in bozza con righe CER compilate e PDF verificato.</t>
  </si>
  <si>
    <t>1. Apri l'offerta RS.
2. Clicca il pulsante 'Invia in approvazione'.
3. Verifica che l'offerta passi allo stato 'In approvazione'.
4. Verifica che i campi di modifica risultino bloccati (offerta in sola lettura).
5. Verifica che il responsabile approvatore (Andrea Bassoli) riceva una notifica.</t>
  </si>
  <si>
    <t>L'offerta passa allo stato 'In approvazione'. I campi non sono più modificabili. Il responsabile approvatore riceve una notifica per procedere con la revisione.</t>
  </si>
  <si>
    <t>Creazione seconda versione offerta sulla stessa opportunità</t>
  </si>
  <si>
    <t>Opportunità RS in 'Elaborazione proposta' con una prima offerta già in bozza.</t>
  </si>
  <si>
    <t>1. Dalla scheda dell'opportunità, clicca il pulsante 'Nuova Offerta'.
2. Compila la nuova offerta con righe CER diverse o prezzi aggiornati.
3. Verifica che il pulsante 'Offerte' mostri il contatore aggiornato (es. '2 Offerte').
4. Apri la lista delle offerte e verifica che entrambe le versioni siano presenti.</t>
  </si>
  <si>
    <t>È possibile avere più versioni di offerta sulla stessa opportunità. Entrambe sono visibili e accessibili dalla scheda dell'opportunità. Il contatore offerte si aggiorna correttamente.</t>
  </si>
  <si>
    <t>Area 5 — Offerta TMB
L'offerta TMB (Trattamento Meccanico Biologico) è un documento più breve rispetto all'offerta Rifiuti Speciali: contiene un singolo tipo di rifiuto e condizioni fisse di conferimento. Anche questa offerta segue il flusso di approvazione interna prima dell'invio al cliente. Questi test verificano la compilazione corretta e l'avanzamento del flusso.</t>
  </si>
  <si>
    <t>Compilazione completa offerta TMB</t>
  </si>
  <si>
    <t>Offerta TMB in stato 'Bozza', aperta dall'opportunità TMB.</t>
  </si>
  <si>
    <t>1. Apri l'offerta TMB dalla scheda dell'opportunità.
2. Verifica che la tipologia sia già impostata su 'TMB'.
3. Seleziona il codice rifiuto da trattare.
4. Inserisci le tonnellate stimate, il prezzo di trattamento e il costo trasporto.
5. Inserisci eventuali note.
6. Clicca 'Apri PDF' per verificare l'anteprima del documento.
7. Salva.</t>
  </si>
  <si>
    <t>L'offerta TMB viene compilata correttamente con tutti i campi. Il PDF mostra il documento con le sezioni previste per il formato TMB (intestazione, dati rifiuto, condizioni di conferimento). I dati inseriti sono tutti presenti nel PDF.</t>
  </si>
  <si>
    <t>Invio offerta TMB in approvazione</t>
  </si>
  <si>
    <t>Offerta TMB compilata e verificata in anteprima PDF.</t>
  </si>
  <si>
    <t>1. Apri l'offerta TMB compilata.
2. Clicca il pulsante 'Invia in approvazione'.
3. Verifica che lo stato passi a 'In approvazione'.
4. Verifica che Andrea Bassoli riceva la notifica di approvazione.</t>
  </si>
  <si>
    <t>L'offerta TMB passa in 'In approvazione'. Il responsabile riceve la notifica. I campi risultano bloccati in sola lettura.</t>
  </si>
  <si>
    <t>Area 6 — Contratto Discarica
Il contratto Discarica è il documento più formale della piattaforma: un contratto articolato per il conferimento rifiuti presso la discarica di Mariana Mantovana. Include un elenco dei produttori dei rifiuti (Allegato 2) che il backoffice compila durante la preparazione. Anche questo contratto deve essere approvato internamente prima dell'invio al cliente per la firma.</t>
  </si>
  <si>
    <t>Compilazione contratto Discarica</t>
  </si>
  <si>
    <t>Contratto Discarica in stato 'Bozza', aperto dall'opportunità Discarica.</t>
  </si>
  <si>
    <t>1. Apri il contratto Discarica dalla scheda dell'opportunità.
2. Compila i campi principali: tipologia rifiuti, tonnellate previste per categoria (rifiuti solidi e fanghi), prezzo per tonnellata, durata contratto.
3. Inserisci eventuali informazioni sulla fidejussione se richiesta.
4. Salva e clicca 'Apri PDF' per verificare l'anteprima del contratto.</t>
  </si>
  <si>
    <t>Il contratto viene compilato correttamente. Il PDF mostra il contratto completo con tutti gli articoli e i dati inseriti riportati nelle sezioni appropriate.</t>
  </si>
  <si>
    <t>Aggiunta produttori dei rifiuti — Allegato 2</t>
  </si>
  <si>
    <t>Contratto Discarica in bozza con cliente che ha almeno un'unità produttiva.</t>
  </si>
  <si>
    <t>1. Con il contratto Discarica aperto, scorri fino alla sezione 'Produttori (Allegato 2)'.
2. Clicca su 'Aggiungi riga'.
3. Nel campo 'Produttore', seleziona l'unità produttiva del cliente (solo gli indirizzi del cliente sono selezionabili).
4. Seleziona il codice rifiuto associato a quel produttore.
5. Ripeti per ogni produttore da includere nel contratto.
6. Aggiorna l'anteprima PDF e verifica la presenza dell'Allegato 2.</t>
  </si>
  <si>
    <t>I produttori vengono aggiunti correttamente alla lista. Nel selettore sono visibili solo gli indirizzi collegati al cliente dell'opportunità. Il PDF mostra l'Allegato 2 con l'elenco dei produttori e i rispettivi codici rifiuto.</t>
  </si>
  <si>
    <t>Invio contratto Discarica in approvazione</t>
  </si>
  <si>
    <t>Contratto Discarica compilato con almeno un produttore nell'Allegato 2.</t>
  </si>
  <si>
    <t>1. Apri il contratto Discarica compilato.
2. Clicca 'Invia in approvazione'.
3. Verifica che lo stato passi a 'In approvazione' e che i campi siano bloccati.
4. Verifica che il responsabile riceva la notifica.</t>
  </si>
  <si>
    <t>Il contratto Discarica passa a 'In approvazione'. I dati non sono più modificabili. Il responsabile riceve la notifica per la revisione.</t>
  </si>
  <si>
    <t>Area 7 — Firma Digitale &amp; Accettazione
Una volta approvata dall'interno, l'offerta viene inviata al cliente tramite firma digitale: il cliente riceve una email con il documento da firmare online. Quando il cliente firma, il sistema aggiorna automaticamente lo stato dell'opportunità. In alternativa è possibile gestire la firma manuale caricando il PDF firmato. Questi test verificano entrambi i percorsi.</t>
  </si>
  <si>
    <t>Approvazione interna dell'offerta (da parte del Responsabile)</t>
  </si>
  <si>
    <t>Offerta (RS, TMB o Discarica) in stato 'In approvazione'. Accesso con profilo Approvatore.</t>
  </si>
  <si>
    <t>1. Accedi con il profilo Approvatore (Andrea Bassoli).
2. Dal menu 'Gestione Rifiuti' → 'Offerte', individua l'offerta in 'In approvazione'.
3. Apri l'offerta e revisionane il contenuto.
4. Clicca il pulsante 'Approva'.
5. Verifica che lo stato dell'offerta passi ad 'Approvata'.</t>
  </si>
  <si>
    <t>L'offerta passa allo stato 'Approvata'. Il commerciale può ora procedere con l'invio al cliente per la firma.</t>
  </si>
  <si>
    <t>Rifiuto offerta da parte del Responsabile con motivazione</t>
  </si>
  <si>
    <t>Offerta in stato 'In approvazione'. Accesso con profilo Approvatore.</t>
  </si>
  <si>
    <t>1. Apri l'offerta in 'In approvazione' come Approvatore.
2. Clicca il pulsante 'Rifiuta'.
3. Inserisci il motivo del rifiuto nella finestra che si apre.
4. Conferma il rifiuto.
5. Verifica lo stato dell'offerta e che il commerciale riceva comunicazione.</t>
  </si>
  <si>
    <t>L'offerta passa a stato 'Rifiutata — in attesa di correzione'. Il motivo del rifiuto è visibile nell'offerta. Il commerciale può modificarla e reinviarla in approvazione.</t>
  </si>
  <si>
    <t>Invio richiesta firma digitale al cliente</t>
  </si>
  <si>
    <t>Offerta in stato 'Approvata'. Accesso con profilo Commerciale.</t>
  </si>
  <si>
    <t>1. Apri l'offerta approvata come Commerciale.
2. Clicca il pulsante 'Invia per firma digitale'.
3. Verifica che l'offerta passi allo stato 'Inviata'.
4. Verifica che l'opportunità CRM avanzi automaticamente allo stage 'Proposta inviata'.
5. Verifica che il cliente abbia ricevuto l'email con il link per la firma.</t>
  </si>
  <si>
    <t>L'offerta passa a 'Inviata'. La pipeline CRM avanza automaticamente a 'Proposta inviata' senza intervento manuale. Il cliente riceve l'email con il documento da firmare digitalmente.</t>
  </si>
  <si>
    <t>Firma digitale da parte del cliente e accettazione automatica</t>
  </si>
  <si>
    <t>Offerta in stato 'Inviata'. Email di firma inviata al cliente. Ambiente di test con firma simulata.</t>
  </si>
  <si>
    <t>1. Apri il link di firma ricevuto via email (simula il comportamento del cliente).
2. Firma digitalmente il documento nell'interfaccia di firma online.
3. Conferma la firma.
4. Torna in Odoo e apri l'offerta: verifica lo stato.
5. Apri l'opportunità CRM e verifica lo stage.</t>
  </si>
  <si>
    <t>Dopo la firma del cliente, l'offerta passa automaticamente a 'Accettata' senza alcuna azione manuale da parte del commerciale. La pipeline CRM avanza automaticamente a 'Attesa documenti'.</t>
  </si>
  <si>
    <t>Accettazione manuale con PDF firmato caricato</t>
  </si>
  <si>
    <t>Offerta in stato 'Approvata'. PDF dell'offerta stampato e firmato a mano disponibile.</t>
  </si>
  <si>
    <t>1. Apri l'offerta approvata.
2. Scarica il PDF con 'Apri PDF', stampalo e fallo firmare (o usa un PDF già firmato).
3. Torna nell'offerta e carica il PDF firmato tramite il campo apposito.
4. Clicca il pulsante 'Accettata'.
5. Verifica lo stato dell'offerta e della pipeline CRM.</t>
  </si>
  <si>
    <t>Il PDF firmato viene allegato correttamente e visibile nel registro attività. L'offerta passa a 'Accettata'. La pipeline CRM avanza automaticamente a 'Attesa documenti'.</t>
  </si>
  <si>
    <t>Area 8 — Documenti Cliente &amp; Chiusura
Dopo l'accettazione dell'offerta, il sistema genera automaticamente la lista dei documenti che il cliente deve consegnare (schede di caratterizzazione, informativa privacy, condizioni generali, ecc.). Il backoffice tiene traccia della ricezione di ogni documento. Solo quando tutti i documenti sono ricevuti e firmati è possibile chiudere l'opportunità come 'Offerta accettata'. Questi test verificano l'intero processo documentale.</t>
  </si>
  <si>
    <t>Verifica documenti generati automaticamente alla fase 'Attesa documenti'</t>
  </si>
  <si>
    <t>Opportunità appena passata allo stage 'Attesa documenti' (a seguito di offerta accettata).</t>
  </si>
  <si>
    <t>1. Apri l'opportunità in fase 'Attesa documenti'.
2. Vai nel tab 'Documenti Cliente'.
3. Verifica che i documenti richiesti siano già presenti (es. informativa privacy, condizioni generali, schede di caratterizzazione).
4. Verifica che ogni documento mostri il flag 'Ricevuto' e, se applicabile, 'Firmato'.</t>
  </si>
  <si>
    <t>I documenti richiesti sono già presenti nel tab 'Documenti Cliente' senza necessità di aggiungerli manualmente. Ogni documento mostra lo stato iniziale 'Non ancora ricevuto'.</t>
  </si>
  <si>
    <t>Registrazione ricezione documenti da parte del cliente</t>
  </si>
  <si>
    <t>Opportunità in 'Attesa documenti' con lista documenti caricata.</t>
  </si>
  <si>
    <t>1. Apri il tab 'Documenti Cliente'.
2. Per un documento ricevuto dal cliente, attiva il flag 'Ricevuto'.
3. Se il documento richiede firma, attiva anche il flag 'Firmato'.
4. Ripeti per ogni documento man mano che arrivano.
5. Verifica che il sistema tenga traccia dello stato complessivo di completamento.</t>
  </si>
  <si>
    <t>Ogni documento aggiornato mostra immediatamente il cambio di stato. Il sistema tiene traccia di quanti documenti sono stati ricevuti rispetto al totale richiesto.</t>
  </si>
  <si>
    <t>Invio documenti selezionati al cliente</t>
  </si>
  <si>
    <t>Opportunità in 'Attesa documenti'. Almeno un documento marcato come 'Da inviare'.</t>
  </si>
  <si>
    <t>1. Nel tab 'Documenti Cliente', seleziona i documenti da inviare al cliente attivando il flag 'Da inviare'.
2. Clicca il pulsante 'Invia Documenti Selezionati'.
3. Verifica che si apra la finestra email con i documenti già allegati.
4. Aggiungi eventuali note al corpo email e invia.</t>
  </si>
  <si>
    <t>La finestra email si apre con i documenti selezionati già allegati. Dopo l'invio, i documenti vengono marcati come inviati nel sistema.</t>
  </si>
  <si>
    <t>Chiusura opportunità a 'Offerta accettata'</t>
  </si>
  <si>
    <t>Opportunità in 'Attesa documenti' con tutti i documenti ricevuti e firmati.</t>
  </si>
  <si>
    <t>1. Apri l'opportunità con tutti i documenti completi.
2. Sposta lo stage su 'Offerta accettata'.
3. Verifica che il sistema consenta l'avanzamento.
4. Verifica che l'opportunità risulti chiusa positivamente.</t>
  </si>
  <si>
    <t>Il sistema consente l'avanzamento a 'Offerta accettata' solo quando tutti i documenti richiesti risultano ricevuti (e firmati se necessario). L'opportunità risulta chiusa con esito positivo.</t>
  </si>
  <si>
    <t>Verifica blocco chiusura con documenti incompleti</t>
  </si>
  <si>
    <t>Opportunità in 'Attesa documenti' con almeno un documento ancora non ricevuto.</t>
  </si>
  <si>
    <t>1. Apri un'opportunità in 'Attesa documenti' dove non tutti i documenti sono ancora stati ricevuti.
2. Tenta di spostare lo stage su 'Offerta accettata'.
3. Osserva il comportamento del sistema.</t>
  </si>
  <si>
    <t>Il sistema blocca l'avanzamento e mostra un messaggio che indica quali documenti mancano. Non è possibile chiudere l'opportunità finché tutti i documenti obbligatori non sono stati ricevuti.</t>
  </si>
  <si>
    <t>Verifica ACL: Approvatore non accede ad Anagrafica CER</t>
  </si>
  <si>
    <t>Accesso con profilo Approvatore.</t>
  </si>
  <si>
    <t>Verifica che il menu 'Anagrafica CER' non sia visibile. Se accessibile via URL diretto, verifica che venga restituito un errore di accesso negato.</t>
  </si>
  <si>
    <t>Il menu Anagrafica CER non è visibile per l'Approvatore. L'accesso via URL diretto viene bloccato con errore di permesso.</t>
  </si>
  <si>
    <t>Verifica ACL: Commerciale non accede a Configurazione</t>
  </si>
  <si>
    <t>Verifica che il menu 'Configurazione' non sia visibile. Tenta l'accesso via URL diretto ai menu Tipologie Offerta, Codici HP, Operazioni R/D.</t>
  </si>
  <si>
    <t>Il menu Configurazione non è visibile per il Commerciale. L'accesso via URL diretto alle pagine di configurazione è bloccato.</t>
  </si>
  <si>
    <t>Blocco creazione prodotto CER con codice duplicato</t>
  </si>
  <si>
    <t>Prodotto con riferimento interno '020104RETIS2' già presente in anagrafica.</t>
  </si>
  <si>
    <t>Tenta di creare un nuovo prodotto CER con lo stesso riferimento interno '020104RETIS2'. Salva.</t>
  </si>
  <si>
    <t>Il sistema blocca con errore di unicità. Non è possibile avere due prodotti con lo stesso riferimento interno.</t>
  </si>
  <si>
    <t>Blocco prezzi negativi nel listino fornitori</t>
  </si>
  <si>
    <t>Accesso admin. Almeno una riga listino fornitore presente.</t>
  </si>
  <si>
    <t>Apri una riga del listino fornitori e modifica il prezzo inserendo un valore negativo (es. -0.10). Salva.</t>
  </si>
  <si>
    <t>Errore di validazione. I prezzi nel listino fornitori non possono essere negativi.</t>
  </si>
  <si>
    <t>Blocco codici HP su rifiuto non pericoloso</t>
  </si>
  <si>
    <t>Prodotto CER non pericoloso presente nel listino.</t>
  </si>
  <si>
    <t>Tenta di aggiungere un codice HP (es. HP3) al listino fornitore di un prodotto CER non pericoloso. Salva.</t>
  </si>
  <si>
    <t>Il sistema blocca con errore. I codici HP non possono essere assegnati a rifiuti non classificati come pericolosi.</t>
  </si>
  <si>
    <t>Blocco avanzamento senza tipologia (validazione backend)</t>
  </si>
  <si>
    <t>Opportunità senza tipologia.</t>
  </si>
  <si>
    <t>Via API o modificando direttamente i campi, tenta di scrivere uno stage &gt; 'Nuovo' senza tipologia.</t>
  </si>
  <si>
    <t>La validazione backend blocca la scrittura con messaggio di errore. Il controllo è applicato anche senza passare dall'interfaccia grafica.</t>
  </si>
  <si>
    <t>Blocco avanzamento RS senza documentazione (backend)</t>
  </si>
  <si>
    <t>Opportunità RS in 'Preso in carico' con documentazione incompleta.</t>
  </si>
  <si>
    <t>Tenta di impostare lo stage su 'Elaborazione proposta' con meno di 4 campi documentazione completati. Verifica il messaggio di errore restituito.</t>
  </si>
  <si>
    <t>Errore di validazione specifico per RS. Il messaggio indica quali campi documentazione devono essere completati.</t>
  </si>
  <si>
    <t>Blocco passaggio manuale a 'Proposta inviata'</t>
  </si>
  <si>
    <t>Opportunità senza offerte in stato 'inviata' o 'accettata'.</t>
  </si>
  <si>
    <t>Tenta di spostare manualmente lo stage su 'Proposta inviata' via trascinamento kanban o modifica campo.</t>
  </si>
  <si>
    <t>Il sistema blocca con popup di errore. Lo stage 'Proposta inviata' è raggiungibile solo via invio offerta per firma digitale.</t>
  </si>
  <si>
    <t>Blocco passaggio manuale a 'Attesa documenti'</t>
  </si>
  <si>
    <t>Opportunità in 'Proposta inviata' senza offerte accettate.</t>
  </si>
  <si>
    <t>Tenta di spostare manualmente lo stage su 'Attesa documenti'.</t>
  </si>
  <si>
    <t>Il sistema blocca con popup di errore. Lo stage 'Attesa documenti' è raggiungibile solo via accettazione offerta.</t>
  </si>
  <si>
    <t>Verifica formato protocollo RS auto-generato</t>
  </si>
  <si>
    <t>Offerta RS appena inviata in approvazione con referente commerciale 'Noemi Menegazzo' (NM).</t>
  </si>
  <si>
    <t>Dopo l'invio in approvazione, apri l'offerta e leggi il campo 'Protocollo'.</t>
  </si>
  <si>
    <t>Il protocollo è nel formato: O + 4 cifre progressive + / + anno corrente + / + iniziali referente (es. O0001/2026/NM). Il campo non è modificabile manualmente.</t>
  </si>
  <si>
    <t>Blocco prezzi negativi su righe CER</t>
  </si>
  <si>
    <t>Offerta RS in bozza con riga CER.</t>
  </si>
  <si>
    <t>Modifica il prezzo di vendita di una riga CER inserendo un valore negativo (es. -10). Salva.</t>
  </si>
  <si>
    <t>Errore di validazione. I valori di costo, markup e prezzo di vendita sulle righe CER non possono essere negativi.</t>
  </si>
  <si>
    <t>Verifica onchange prezzi bidirezionale — 3 scenari</t>
  </si>
  <si>
    <t>Offerta RS in bozza con riga CER e prezzi impostati.</t>
  </si>
  <si>
    <t>1. Modifica solo 'Costo': verifica che 'Markup' e 'Prezzo di vendita' si aggiornino.
2. Modifica solo 'Markup %': verifica che 'Costo' e 'Prezzo di vendita' si aggiornino.
3. Modifica solo 'Prezzo di vendita': verifica che 'Costo' e 'Markup' si aggiornino.</t>
  </si>
  <si>
    <t>In tutti e 3 i casi i valori sono sempre coerenti: prezzo vendita = costo × (1 + markup/100). La modifica di un campo aggiorna automaticamente gli altri due.</t>
  </si>
  <si>
    <t>Blocco creazione offerta diretta dal menu Offerte</t>
  </si>
  <si>
    <t>Utente Commerciale loggato.</t>
  </si>
  <si>
    <t>Dal menu 'Gestione Rifiuti' → 'Offerte', cerca il pulsante 'Nuovo' e tenta di cliccarci.</t>
  </si>
  <si>
    <t>Il pulsante 'Nuovo' non è presente nella lista offerte. Le offerte possono essere create solo dall'interno di un'opportunità CRM.</t>
  </si>
  <si>
    <t>Blocco valori negativi campi TMB</t>
  </si>
  <si>
    <t>Offerta TMB in bozza.</t>
  </si>
  <si>
    <t>Inserisci un valore negativo nel campo 'Tonnellate stimate' o 'Prezzo trattamento'. Salva.</t>
  </si>
  <si>
    <t>Errore di validazione. Tutti i campi numerici dell'offerta TMB rifiutano valori negativi.</t>
  </si>
  <si>
    <t>Blocco valori negativi contratto Discarica</t>
  </si>
  <si>
    <t>Contratto Discarica in bozza.</t>
  </si>
  <si>
    <t>Inserisci valori negativi in: tonnellate previste, prezzo per tonnellata, importo fidejussione. Salva.</t>
  </si>
  <si>
    <t>Errore di validazione su ognuno dei campi numerici. I valori del contratto Discarica devono essere tutti non negativi.</t>
  </si>
  <si>
    <t>Verifica filtro produttori per cliente specifico</t>
  </si>
  <si>
    <t>Contratto Discarica con cliente selezionato che ha almeno un'unità produttiva.</t>
  </si>
  <si>
    <t>Nella sezione Allegato 2, clicca 'Aggiungi riga' e apri il selettore 'Produttore'. Verifica l'elenco proposto.</t>
  </si>
  <si>
    <t>Vengono mostrati solo gli indirizzi (unità produttive) associati al cliente dell'opportunità. Partner di altri clienti non sono selezionabili.</t>
  </si>
  <si>
    <t>Avanzamento automatico stage dopo firma digitale del cliente</t>
  </si>
  <si>
    <t>Offerta RS in stato 'Inviata' per firma. Ambiente di test con firma simulabile.</t>
  </si>
  <si>
    <t>Simula la firma del cliente via Odoo Sign. Subito dopo, verifica lo stato dell'offerta e lo stage della lead.</t>
  </si>
  <si>
    <t>Offerta → 'Accettata' (automatico via hook firma). Lead → 'Attesa documenti' (automatico). Nessuna azione manuale richiesta.</t>
  </si>
  <si>
    <t>Verifica stato offerta dopo rifiuto firma da parte del cliente</t>
  </si>
  <si>
    <t>Offerta RS in stato 'Inviata' per firma.</t>
  </si>
  <si>
    <t>Simula il rifiuto della firma da parte del cliente in Odoo Sign. Verifica lo stato risultante dell'offerta e della lead.</t>
  </si>
  <si>
    <t>Offerta → 'Rifiutata dal cliente'. La lead rimane in 'Proposta inviata'. Il commerciale può riportare l'offerta in bozza e modificarla.</t>
  </si>
  <si>
    <t>Verifica generazione automatica documenti da template tipologia</t>
  </si>
  <si>
    <t>Offerta accettata → lead appena passata a 'Attesa documenti'.</t>
  </si>
  <si>
    <t>Apri la lead. Vai nel tab 'Documenti Cliente'. Verifica numero, tipologia e origine dei documenti presenti.</t>
  </si>
  <si>
    <t>I documenti sono stati generati automaticamente dal template della tipologia offerta. Non è stato necessario aggiungerli manualmente. Il numero e la tipologia corrispondono alla configurazione della tipologia.</t>
  </si>
  <si>
    <t>Blocco avanzamento a 'Offerta accettata' con documenti incompleti (backend)</t>
  </si>
  <si>
    <t>Lead in 'Attesa documenti' con almeno un documento non ricevuto.</t>
  </si>
  <si>
    <t>Tenta di impostare lo stage 'Offerta accettata' via modifica diretta del campo o trascinamento kanban.</t>
  </si>
  <si>
    <t>Errore di validazione backend. Il sistema calcola `tea_all_documents_complete` = False e blocca la scrittura. Il messaggio indica che tutti i documenti devono essere ricevuti.</t>
  </si>
  <si>
    <t>Verifica cron reminder approvazioni attivo</t>
  </si>
  <si>
    <t>Almeno un'offerta in stato 'In approvazione'. Accesso admin.</t>
  </si>
  <si>
    <t>Vai in Impostazioni → Tecnico → Automazione → Azioni Pianificate. Cerca il cron 'Reminder Approvazioni Offerte'. Verifica stato e frequenza.</t>
  </si>
  <si>
    <t>Il cron è presente, abilitato e configurato con cadenza giornaliera. Le offerte in attesa di approvazione ricevono un promemoria automatico al responsabile.</t>
  </si>
  <si>
    <t>Test Result — valori validi</t>
  </si>
  <si>
    <t>Issue Status</t>
  </si>
  <si>
    <t>Issue Priority</t>
  </si>
  <si>
    <t>opened</t>
  </si>
  <si>
    <t>P1 - Critical</t>
  </si>
  <si>
    <t>passed</t>
  </si>
  <si>
    <t>in progress</t>
  </si>
  <si>
    <t>P2 - High</t>
  </si>
  <si>
    <t>to be retested</t>
  </si>
  <si>
    <t>resolved</t>
  </si>
  <si>
    <t>P3 - Medium</t>
  </si>
  <si>
    <t>failed</t>
  </si>
  <si>
    <t>P4 - Low</t>
  </si>
  <si>
    <t>blocked</t>
  </si>
  <si>
    <t>closed</t>
  </si>
  <si>
    <t>post-poned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</si>
</sst>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b/>
      <i/>
      <sz val="11"/>
      <color rgb="FF1F4E79"/>
      <name val="Arial"/>
    </font>
    <font>
      <sz val="10"/>
      <name val="Arial"/>
    </font>
    <font>
      <b/>
      <sz val="10"/>
      <name val="Arial"/>
    </font>
  </fonts>
  <fills count="7">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D9E2F3"/>
        <bgColor rgb="FFD9E2F3"/>
      </patternFill>
    </fill>
    <fill>
      <patternFill patternType="solid">
        <fgColor rgb="FFFFFFFF"/>
        <bgColor rgb="FFFFFFFF"/>
      </patternFill>
    </fill>
    <fill>
      <patternFill patternType="solid">
        <fgColor rgb="FF2E75B6"/>
        <bgColor rgb="FF2E75B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4"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4" fillId="4"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left" vertical="top" wrapText="1"/>
    </xf>
    <xf numFmtId="0" fontId="4" fillId="0" borderId="0" xfId="0" applyFont="1"/>
    <xf numFmtId="0" fontId="1" fillId="6" borderId="1" xfId="0" applyFont="1" applyFill="1" applyBorder="1" applyAlignment="1">
      <alignment horizontal="left" vertical="center"/>
    </xf>
    <xf numFmtId="0" fontId="0" fillId="0" borderId="0" xfId="0"/>
    <xf numFmtId="0" fontId="2" fillId="3"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showGridLines="0" workbookViewId="0">
      <selection activeCell="B13" sqref="B13"/>
    </sheetView>
  </sheetViews>
  <sheetFormatPr defaultRowHeight="15" x14ac:dyDescent="0.25"/>
  <cols>
    <col min="1" max="1" width="30" customWidth="1"/>
    <col min="2" max="5" width="18" customWidth="1"/>
  </cols>
  <sheetData>
    <row r="1" spans="1:5" ht="24" customHeight="1" x14ac:dyDescent="0.25">
      <c r="A1" s="13" t="s">
        <v>0</v>
      </c>
      <c r="B1" s="14"/>
      <c r="C1" s="14"/>
      <c r="D1" s="14"/>
      <c r="E1" s="14"/>
    </row>
    <row r="2" spans="1:5" x14ac:dyDescent="0.25">
      <c r="A2" s="1" t="s">
        <v>1</v>
      </c>
      <c r="B2" s="2">
        <f>COUNTA('Test book - Funzionale'!D2:D500)+COUNTA('Test book - Tecnico'!D2:D500)</f>
        <v>52</v>
      </c>
    </row>
    <row r="3" spans="1:5" x14ac:dyDescent="0.25">
      <c r="A3" s="3" t="s">
        <v>2</v>
      </c>
      <c r="B3" s="2">
        <f>COUNTIF('Test book - Funzionale'!H2:H500,"to be tested")+COUNTIF('Test book - Tecnico'!H2:H500,"to be tested")</f>
        <v>52</v>
      </c>
    </row>
    <row r="4" spans="1:5" x14ac:dyDescent="0.25">
      <c r="A4" s="3" t="s">
        <v>3</v>
      </c>
      <c r="B4" s="2">
        <f>COUNTIF('Test book - Funzionale'!H2:H500,"passed")+COUNTIF('Test book - Tecnico'!H2:H500,"passed")</f>
        <v>0</v>
      </c>
    </row>
    <row r="5" spans="1:5" x14ac:dyDescent="0.25">
      <c r="A5" s="3" t="s">
        <v>4</v>
      </c>
      <c r="B5" s="2">
        <f>COUNTIF('Test book - Funzionale'!H2:H500,"to be retested")+COUNTIF('Test book - Tecnico'!H2:H500,"to be retested")</f>
        <v>0</v>
      </c>
    </row>
    <row r="6" spans="1:5" x14ac:dyDescent="0.25">
      <c r="A6" s="3" t="s">
        <v>5</v>
      </c>
      <c r="B6" s="2">
        <f>COUNTIF('Test book - Funzionale'!H2:H500,"failed")+COUNTIF('Test book - Tecnico'!H2:H500,"failed")</f>
        <v>0</v>
      </c>
    </row>
    <row r="7" spans="1:5" x14ac:dyDescent="0.25">
      <c r="A7" s="3" t="s">
        <v>6</v>
      </c>
      <c r="B7" s="2">
        <f>COUNTIF('Test book - Funzionale'!H2:H500,"blocked")+COUNTIF('Test book - Tecnico'!H2:H500,"blocked")</f>
        <v>0</v>
      </c>
    </row>
    <row r="8" spans="1:5" x14ac:dyDescent="0.25">
      <c r="A8" s="3" t="s">
        <v>7</v>
      </c>
      <c r="B8" s="2">
        <f>COUNTIF('Test book - Funzionale'!H2:H500,"post-poned")+COUNTIF('Test book - Tecnico'!H2:H500,"post-poned")</f>
        <v>0</v>
      </c>
    </row>
    <row r="10" spans="1:5" ht="24" customHeight="1" x14ac:dyDescent="0.25">
      <c r="A10" s="13" t="s">
        <v>8</v>
      </c>
      <c r="B10" s="14"/>
      <c r="C10" s="14"/>
      <c r="D10" s="14"/>
      <c r="E10" s="14"/>
    </row>
    <row r="11" spans="1:5" x14ac:dyDescent="0.25">
      <c r="A11" s="4" t="s">
        <v>9</v>
      </c>
      <c r="B11" s="4" t="s">
        <v>10</v>
      </c>
      <c r="C11" s="4" t="s">
        <v>11</v>
      </c>
      <c r="D11" s="4" t="s">
        <v>12</v>
      </c>
    </row>
    <row r="12" spans="1:5" x14ac:dyDescent="0.25">
      <c r="A12" s="3" t="s">
        <v>13</v>
      </c>
      <c r="B12" s="2">
        <f>COUNTA('Test book - Funzionale'!D2:D500)</f>
        <v>31</v>
      </c>
      <c r="C12" s="2">
        <f>COUNTIF('Test book - Funzionale'!H2:H500,"passed")</f>
        <v>0</v>
      </c>
      <c r="D12" s="2">
        <f>COUNTIF('Test book - Funzionale'!H2:H500,"failed")</f>
        <v>0</v>
      </c>
    </row>
    <row r="13" spans="1:5" x14ac:dyDescent="0.25">
      <c r="A13" s="3" t="s">
        <v>14</v>
      </c>
      <c r="B13" s="2">
        <f>COUNTA('Test book - Tecnico'!D2:D500)</f>
        <v>21</v>
      </c>
      <c r="C13" s="2">
        <f>COUNTIF('Test book - Tecnico'!H2:H500,"passed")</f>
        <v>0</v>
      </c>
      <c r="D13" s="2">
        <f>COUNTIF('Test book - Tecnico'!H2:H500,"failed")</f>
        <v>0</v>
      </c>
    </row>
    <row r="15" spans="1:5" ht="24" customHeight="1" x14ac:dyDescent="0.25">
      <c r="A15" s="13" t="s">
        <v>15</v>
      </c>
      <c r="B15" s="14"/>
      <c r="C15" s="14"/>
      <c r="D15" s="14"/>
      <c r="E15" s="14"/>
    </row>
    <row r="16" spans="1:5" x14ac:dyDescent="0.25">
      <c r="A16" s="4" t="s">
        <v>16</v>
      </c>
      <c r="B16" s="4" t="s">
        <v>17</v>
      </c>
      <c r="C16" s="4" t="s">
        <v>18</v>
      </c>
      <c r="D16" s="4" t="s">
        <v>19</v>
      </c>
      <c r="E16" s="4" t="s">
        <v>20</v>
      </c>
    </row>
    <row r="17" spans="1:5" x14ac:dyDescent="0.25">
      <c r="A17" s="3" t="s">
        <v>21</v>
      </c>
      <c r="B17" s="2">
        <f>COUNTIF('Test book - Funzionale'!B2:B500,"Login &amp; Navigazione")</f>
        <v>2</v>
      </c>
      <c r="C17" s="2">
        <f>COUNTIFS('Test book - Funzionale'!B2:B500,"Login &amp; Navigazione",'Test book - Funzionale'!H2:H500,"passed")</f>
        <v>0</v>
      </c>
      <c r="D17" s="2">
        <f>COUNTIF('Test book - Tecnico'!B2:B500,"Login &amp; Navigazione")</f>
        <v>2</v>
      </c>
      <c r="E17" s="2">
        <f>COUNTIFS('Test book - Tecnico'!B2:B500,"Login &amp; Navigazione",'Test book - Tecnico'!H2:H500,"passed")</f>
        <v>0</v>
      </c>
    </row>
    <row r="18" spans="1:5" x14ac:dyDescent="0.25">
      <c r="A18" s="3" t="s">
        <v>22</v>
      </c>
      <c r="B18" s="2">
        <f>COUNTIF('Test book - Funzionale'!B2:B500,"Anagrafica CER")</f>
        <v>2</v>
      </c>
      <c r="C18" s="2">
        <f>COUNTIFS('Test book - Funzionale'!B2:B500,"Anagrafica CER",'Test book - Funzionale'!H2:H500,"passed")</f>
        <v>0</v>
      </c>
      <c r="D18" s="2">
        <f>COUNTIF('Test book - Tecnico'!B2:B500,"Anagrafica CER")</f>
        <v>3</v>
      </c>
      <c r="E18" s="2">
        <f>COUNTIFS('Test book - Tecnico'!B2:B500,"Anagrafica CER",'Test book - Tecnico'!H2:H500,"passed")</f>
        <v>0</v>
      </c>
    </row>
    <row r="19" spans="1:5" x14ac:dyDescent="0.25">
      <c r="A19" s="3" t="s">
        <v>23</v>
      </c>
      <c r="B19" s="2">
        <f>COUNTIF('Test book - Funzionale'!B2:B500,"Pipeline CRM — Gestione Opportunità")</f>
        <v>6</v>
      </c>
      <c r="C19" s="2">
        <f>COUNTIFS('Test book - Funzionale'!B2:B500,"Pipeline CRM — Gestione Opportunità",'Test book - Funzionale'!H2:H500,"passed")</f>
        <v>0</v>
      </c>
      <c r="D19" s="2">
        <f>COUNTIF('Test book - Tecnico'!B2:B500,"Pipeline CRM — Gestione Opportunità")</f>
        <v>4</v>
      </c>
      <c r="E19" s="2">
        <f>COUNTIFS('Test book - Tecnico'!B2:B500,"Pipeline CRM — Gestione Opportunità",'Test book - Tecnico'!H2:H500,"passed")</f>
        <v>0</v>
      </c>
    </row>
    <row r="20" spans="1:5" x14ac:dyDescent="0.25">
      <c r="A20" s="3" t="s">
        <v>24</v>
      </c>
      <c r="B20" s="2">
        <f>COUNTIF('Test book - Funzionale'!B2:B500,"Offerta Rifiuti Speciali")</f>
        <v>6</v>
      </c>
      <c r="C20" s="2">
        <f>COUNTIFS('Test book - Funzionale'!B2:B500,"Offerta Rifiuti Speciali",'Test book - Funzionale'!H2:H500,"passed")</f>
        <v>0</v>
      </c>
      <c r="D20" s="2">
        <f>COUNTIF('Test book - Tecnico'!B2:B500,"Offerta Rifiuti Speciali")</f>
        <v>4</v>
      </c>
      <c r="E20" s="2">
        <f>COUNTIFS('Test book - Tecnico'!B2:B500,"Offerta Rifiuti Speciali",'Test book - Tecnico'!H2:H500,"passed")</f>
        <v>0</v>
      </c>
    </row>
    <row r="21" spans="1:5" x14ac:dyDescent="0.25">
      <c r="A21" s="3" t="s">
        <v>25</v>
      </c>
      <c r="B21" s="2">
        <f>COUNTIF('Test book - Funzionale'!B2:B500,"Offerta TMB")</f>
        <v>2</v>
      </c>
      <c r="C21" s="2">
        <f>COUNTIFS('Test book - Funzionale'!B2:B500,"Offerta TMB",'Test book - Funzionale'!H2:H500,"passed")</f>
        <v>0</v>
      </c>
      <c r="D21" s="2">
        <f>COUNTIF('Test book - Tecnico'!B2:B500,"Offerta TMB")</f>
        <v>1</v>
      </c>
      <c r="E21" s="2">
        <f>COUNTIFS('Test book - Tecnico'!B2:B500,"Offerta TMB",'Test book - Tecnico'!H2:H500,"passed")</f>
        <v>0</v>
      </c>
    </row>
    <row r="22" spans="1:5" x14ac:dyDescent="0.25">
      <c r="A22" s="3" t="s">
        <v>26</v>
      </c>
      <c r="B22" s="2">
        <f>COUNTIF('Test book - Funzionale'!B2:B500,"Contratto Discarica")</f>
        <v>3</v>
      </c>
      <c r="C22" s="2">
        <f>COUNTIFS('Test book - Funzionale'!B2:B500,"Contratto Discarica",'Test book - Funzionale'!H2:H500,"passed")</f>
        <v>0</v>
      </c>
      <c r="D22" s="2">
        <f>COUNTIF('Test book - Tecnico'!B2:B500,"Contratto Discarica")</f>
        <v>2</v>
      </c>
      <c r="E22" s="2">
        <f>COUNTIFS('Test book - Tecnico'!B2:B500,"Contratto Discarica",'Test book - Tecnico'!H2:H500,"passed")</f>
        <v>0</v>
      </c>
    </row>
    <row r="23" spans="1:5" x14ac:dyDescent="0.25">
      <c r="A23" s="3" t="s">
        <v>27</v>
      </c>
      <c r="B23" s="2">
        <f>COUNTIF('Test book - Funzionale'!B2:B500,"Firma Digitale &amp; Accettazione")</f>
        <v>5</v>
      </c>
      <c r="C23" s="2">
        <f>COUNTIFS('Test book - Funzionale'!B2:B500,"Firma Digitale &amp; Accettazione",'Test book - Funzionale'!H2:H500,"passed")</f>
        <v>0</v>
      </c>
      <c r="D23" s="2">
        <f>COUNTIF('Test book - Tecnico'!B2:B500,"Firma Digitale &amp; Accettazione")</f>
        <v>2</v>
      </c>
      <c r="E23" s="2">
        <f>COUNTIFS('Test book - Tecnico'!B2:B500,"Firma Digitale &amp; Accettazione",'Test book - Tecnico'!H2:H500,"passed")</f>
        <v>0</v>
      </c>
    </row>
    <row r="24" spans="1:5" x14ac:dyDescent="0.25">
      <c r="A24" s="3" t="s">
        <v>28</v>
      </c>
      <c r="B24" s="2">
        <f>COUNTIF('Test book - Funzionale'!B2:B500,"Documenti Cliente &amp; Chiusura")</f>
        <v>5</v>
      </c>
      <c r="C24" s="2">
        <f>COUNTIFS('Test book - Funzionale'!B2:B500,"Documenti Cliente &amp; Chiusura",'Test book - Funzionale'!H2:H500,"passed")</f>
        <v>0</v>
      </c>
      <c r="D24" s="2">
        <f>COUNTIF('Test book - Tecnico'!B2:B500,"Documenti Cliente &amp; Chiusura")</f>
        <v>3</v>
      </c>
      <c r="E24" s="2">
        <f>COUNTIFS('Test book - Tecnico'!B2:B500,"Documenti Cliente &amp; Chiusura",'Test book - Tecnico'!H2:H500,"passed")</f>
        <v>0</v>
      </c>
    </row>
  </sheetData>
  <mergeCells count="3">
    <mergeCell ref="A15:E15"/>
    <mergeCell ref="A1:E1"/>
    <mergeCell ref="A10:E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0"/>
  <sheetViews>
    <sheetView tabSelected="1" workbookViewId="0">
      <pane ySplit="1" topLeftCell="A2" activePane="bottomLeft" state="frozen"/>
      <selection pane="bottomLeft" activeCell="G3" sqref="G3"/>
    </sheetView>
  </sheetViews>
  <sheetFormatPr defaultRowHeight="15" x14ac:dyDescent="0.25"/>
  <cols>
    <col min="1" max="1" width="6" customWidth="1"/>
    <col min="2" max="2" width="24" customWidth="1"/>
    <col min="3" max="3" width="10" customWidth="1"/>
    <col min="4" max="4" width="34" customWidth="1"/>
    <col min="5" max="5" width="36" customWidth="1"/>
    <col min="6" max="7" width="52" customWidth="1"/>
    <col min="8" max="8" width="16" customWidth="1"/>
    <col min="9" max="9" width="14" customWidth="1"/>
    <col min="10" max="10" width="18" customWidth="1"/>
    <col min="11" max="11" width="32" customWidth="1"/>
  </cols>
  <sheetData>
    <row r="1" spans="1:11" ht="30" customHeight="1" x14ac:dyDescent="0.25">
      <c r="A1" s="5" t="s">
        <v>29</v>
      </c>
      <c r="B1" s="5" t="s">
        <v>16</v>
      </c>
      <c r="C1" s="5" t="s">
        <v>30</v>
      </c>
      <c r="D1" s="5" t="s">
        <v>31</v>
      </c>
      <c r="E1" s="5" t="s">
        <v>32</v>
      </c>
      <c r="F1" s="5" t="s">
        <v>33</v>
      </c>
      <c r="G1" s="5" t="s">
        <v>34</v>
      </c>
      <c r="H1" s="5" t="s">
        <v>35</v>
      </c>
      <c r="I1" s="5" t="s">
        <v>36</v>
      </c>
      <c r="J1" s="5" t="s">
        <v>37</v>
      </c>
      <c r="K1" s="5" t="s">
        <v>38</v>
      </c>
    </row>
    <row r="2" spans="1:11" ht="90" customHeight="1" x14ac:dyDescent="0.25">
      <c r="A2" s="15" t="s">
        <v>39</v>
      </c>
      <c r="B2" s="14"/>
      <c r="C2" s="14"/>
      <c r="D2" s="14"/>
      <c r="E2" s="14"/>
      <c r="F2" s="14"/>
      <c r="G2" s="14"/>
      <c r="H2" s="14"/>
      <c r="I2" s="14"/>
      <c r="J2" s="14"/>
      <c r="K2" s="14"/>
    </row>
    <row r="3" spans="1:11" ht="120.75" customHeight="1" x14ac:dyDescent="0.25">
      <c r="A3" s="6">
        <v>1</v>
      </c>
      <c r="B3" s="7" t="s">
        <v>21</v>
      </c>
      <c r="C3" s="6">
        <v>1</v>
      </c>
      <c r="D3" s="7" t="s">
        <v>40</v>
      </c>
      <c r="E3" s="8" t="s">
        <v>41</v>
      </c>
      <c r="F3" s="8" t="s">
        <v>42</v>
      </c>
      <c r="G3" s="8" t="s">
        <v>43</v>
      </c>
      <c r="H3" s="6" t="s">
        <v>44</v>
      </c>
      <c r="I3" s="6"/>
      <c r="J3" s="6"/>
      <c r="K3" s="8"/>
    </row>
    <row r="4" spans="1:11" ht="111.75" customHeight="1" x14ac:dyDescent="0.25">
      <c r="A4" s="9">
        <v>1</v>
      </c>
      <c r="B4" s="10" t="s">
        <v>21</v>
      </c>
      <c r="C4" s="9">
        <v>2</v>
      </c>
      <c r="D4" s="10" t="s">
        <v>45</v>
      </c>
      <c r="E4" s="11" t="s">
        <v>46</v>
      </c>
      <c r="F4" s="11" t="s">
        <v>47</v>
      </c>
      <c r="G4" s="11" t="s">
        <v>48</v>
      </c>
      <c r="H4" s="9" t="s">
        <v>44</v>
      </c>
      <c r="I4" s="9"/>
      <c r="J4" s="9"/>
      <c r="K4" s="11"/>
    </row>
    <row r="5" spans="1:11" ht="90" customHeight="1" x14ac:dyDescent="0.25">
      <c r="A5" s="15" t="s">
        <v>49</v>
      </c>
      <c r="B5" s="14"/>
      <c r="C5" s="14"/>
      <c r="D5" s="14"/>
      <c r="E5" s="14"/>
      <c r="F5" s="14"/>
      <c r="G5" s="14"/>
      <c r="H5" s="14"/>
      <c r="I5" s="14"/>
      <c r="J5" s="14"/>
      <c r="K5" s="14"/>
    </row>
    <row r="6" spans="1:11" ht="60" customHeight="1" x14ac:dyDescent="0.25">
      <c r="A6" s="6">
        <v>2</v>
      </c>
      <c r="B6" s="7" t="s">
        <v>22</v>
      </c>
      <c r="C6" s="6">
        <v>1</v>
      </c>
      <c r="D6" s="7" t="s">
        <v>50</v>
      </c>
      <c r="E6" s="8" t="s">
        <v>51</v>
      </c>
      <c r="F6" s="8" t="s">
        <v>52</v>
      </c>
      <c r="G6" s="8" t="s">
        <v>53</v>
      </c>
      <c r="H6" s="6" t="s">
        <v>44</v>
      </c>
      <c r="I6" s="6"/>
      <c r="J6" s="6"/>
      <c r="K6" s="8"/>
    </row>
    <row r="7" spans="1:11" ht="60" customHeight="1" x14ac:dyDescent="0.25">
      <c r="A7" s="9">
        <v>2</v>
      </c>
      <c r="B7" s="10" t="s">
        <v>22</v>
      </c>
      <c r="C7" s="9">
        <v>2</v>
      </c>
      <c r="D7" s="10" t="s">
        <v>54</v>
      </c>
      <c r="E7" s="11" t="s">
        <v>51</v>
      </c>
      <c r="F7" s="11" t="s">
        <v>55</v>
      </c>
      <c r="G7" s="11" t="s">
        <v>56</v>
      </c>
      <c r="H7" s="9" t="s">
        <v>44</v>
      </c>
      <c r="I7" s="9"/>
      <c r="J7" s="9"/>
      <c r="K7" s="11"/>
    </row>
    <row r="8" spans="1:11" ht="90" customHeight="1" x14ac:dyDescent="0.25">
      <c r="A8" s="15" t="s">
        <v>57</v>
      </c>
      <c r="B8" s="14"/>
      <c r="C8" s="14"/>
      <c r="D8" s="14"/>
      <c r="E8" s="14"/>
      <c r="F8" s="14"/>
      <c r="G8" s="14"/>
      <c r="H8" s="14"/>
      <c r="I8" s="14"/>
      <c r="J8" s="14"/>
      <c r="K8" s="14"/>
    </row>
    <row r="9" spans="1:11" ht="60" customHeight="1" x14ac:dyDescent="0.25">
      <c r="A9" s="6">
        <v>3</v>
      </c>
      <c r="B9" s="7" t="s">
        <v>23</v>
      </c>
      <c r="C9" s="6">
        <v>1</v>
      </c>
      <c r="D9" s="7" t="s">
        <v>58</v>
      </c>
      <c r="E9" s="8" t="s">
        <v>59</v>
      </c>
      <c r="F9" s="8" t="s">
        <v>60</v>
      </c>
      <c r="G9" s="8" t="s">
        <v>61</v>
      </c>
      <c r="H9" s="6" t="s">
        <v>44</v>
      </c>
      <c r="I9" s="6"/>
      <c r="J9" s="6"/>
      <c r="K9" s="8"/>
    </row>
    <row r="10" spans="1:11" ht="60" customHeight="1" x14ac:dyDescent="0.25">
      <c r="A10" s="9">
        <v>3</v>
      </c>
      <c r="B10" s="10" t="s">
        <v>23</v>
      </c>
      <c r="C10" s="9">
        <v>2</v>
      </c>
      <c r="D10" s="10" t="s">
        <v>62</v>
      </c>
      <c r="E10" s="11" t="s">
        <v>63</v>
      </c>
      <c r="F10" s="11" t="s">
        <v>64</v>
      </c>
      <c r="G10" s="11" t="s">
        <v>65</v>
      </c>
      <c r="H10" s="9" t="s">
        <v>44</v>
      </c>
      <c r="I10" s="9"/>
      <c r="J10" s="9"/>
      <c r="K10" s="11"/>
    </row>
    <row r="11" spans="1:11" ht="60" customHeight="1" x14ac:dyDescent="0.25">
      <c r="A11" s="6">
        <v>3</v>
      </c>
      <c r="B11" s="7" t="s">
        <v>23</v>
      </c>
      <c r="C11" s="6">
        <v>3</v>
      </c>
      <c r="D11" s="7" t="s">
        <v>66</v>
      </c>
      <c r="E11" s="8" t="s">
        <v>67</v>
      </c>
      <c r="F11" s="8" t="s">
        <v>68</v>
      </c>
      <c r="G11" s="8" t="s">
        <v>69</v>
      </c>
      <c r="H11" s="6" t="s">
        <v>44</v>
      </c>
      <c r="I11" s="6"/>
      <c r="J11" s="6"/>
      <c r="K11" s="8"/>
    </row>
    <row r="12" spans="1:11" ht="60" customHeight="1" x14ac:dyDescent="0.25">
      <c r="A12" s="9">
        <v>3</v>
      </c>
      <c r="B12" s="10" t="s">
        <v>23</v>
      </c>
      <c r="C12" s="9">
        <v>4</v>
      </c>
      <c r="D12" s="10" t="s">
        <v>70</v>
      </c>
      <c r="E12" s="11" t="s">
        <v>71</v>
      </c>
      <c r="F12" s="11" t="s">
        <v>72</v>
      </c>
      <c r="G12" s="11" t="s">
        <v>73</v>
      </c>
      <c r="H12" s="9" t="s">
        <v>44</v>
      </c>
      <c r="I12" s="9"/>
      <c r="J12" s="9"/>
      <c r="K12" s="11"/>
    </row>
    <row r="13" spans="1:11" ht="60" customHeight="1" x14ac:dyDescent="0.25">
      <c r="A13" s="6">
        <v>3</v>
      </c>
      <c r="B13" s="7" t="s">
        <v>23</v>
      </c>
      <c r="C13" s="6">
        <v>5</v>
      </c>
      <c r="D13" s="7" t="s">
        <v>74</v>
      </c>
      <c r="E13" s="8" t="s">
        <v>75</v>
      </c>
      <c r="F13" s="8" t="s">
        <v>76</v>
      </c>
      <c r="G13" s="8" t="s">
        <v>77</v>
      </c>
      <c r="H13" s="6" t="s">
        <v>44</v>
      </c>
      <c r="I13" s="6"/>
      <c r="J13" s="6"/>
      <c r="K13" s="8"/>
    </row>
    <row r="14" spans="1:11" ht="60" customHeight="1" x14ac:dyDescent="0.25">
      <c r="A14" s="9">
        <v>3</v>
      </c>
      <c r="B14" s="10" t="s">
        <v>23</v>
      </c>
      <c r="C14" s="9">
        <v>6</v>
      </c>
      <c r="D14" s="10" t="s">
        <v>78</v>
      </c>
      <c r="E14" s="11" t="s">
        <v>51</v>
      </c>
      <c r="F14" s="11" t="s">
        <v>79</v>
      </c>
      <c r="G14" s="11" t="s">
        <v>80</v>
      </c>
      <c r="H14" s="9" t="s">
        <v>44</v>
      </c>
      <c r="I14" s="9"/>
      <c r="J14" s="9"/>
      <c r="K14" s="11"/>
    </row>
    <row r="15" spans="1:11" ht="90" customHeight="1" x14ac:dyDescent="0.25">
      <c r="A15" s="15" t="s">
        <v>81</v>
      </c>
      <c r="B15" s="14"/>
      <c r="C15" s="14"/>
      <c r="D15" s="14"/>
      <c r="E15" s="14"/>
      <c r="F15" s="14"/>
      <c r="G15" s="14"/>
      <c r="H15" s="14"/>
      <c r="I15" s="14"/>
      <c r="J15" s="14"/>
      <c r="K15" s="14"/>
    </row>
    <row r="16" spans="1:11" ht="60" customHeight="1" x14ac:dyDescent="0.25">
      <c r="A16" s="6">
        <v>4</v>
      </c>
      <c r="B16" s="7" t="s">
        <v>24</v>
      </c>
      <c r="C16" s="6">
        <v>1</v>
      </c>
      <c r="D16" s="7" t="s">
        <v>82</v>
      </c>
      <c r="E16" s="8" t="s">
        <v>83</v>
      </c>
      <c r="F16" s="8" t="s">
        <v>84</v>
      </c>
      <c r="G16" s="8" t="s">
        <v>85</v>
      </c>
      <c r="H16" s="6" t="s">
        <v>44</v>
      </c>
      <c r="I16" s="6"/>
      <c r="J16" s="6"/>
      <c r="K16" s="8"/>
    </row>
    <row r="17" spans="1:11" ht="60" customHeight="1" x14ac:dyDescent="0.25">
      <c r="A17" s="9">
        <v>4</v>
      </c>
      <c r="B17" s="10" t="s">
        <v>24</v>
      </c>
      <c r="C17" s="9">
        <v>2</v>
      </c>
      <c r="D17" s="10" t="s">
        <v>86</v>
      </c>
      <c r="E17" s="11" t="s">
        <v>87</v>
      </c>
      <c r="F17" s="11" t="s">
        <v>88</v>
      </c>
      <c r="G17" s="11" t="s">
        <v>89</v>
      </c>
      <c r="H17" s="9" t="s">
        <v>44</v>
      </c>
      <c r="I17" s="9"/>
      <c r="J17" s="9"/>
      <c r="K17" s="11"/>
    </row>
    <row r="18" spans="1:11" ht="60" customHeight="1" x14ac:dyDescent="0.25">
      <c r="A18" s="6">
        <v>4</v>
      </c>
      <c r="B18" s="7" t="s">
        <v>24</v>
      </c>
      <c r="C18" s="6">
        <v>3</v>
      </c>
      <c r="D18" s="7" t="s">
        <v>90</v>
      </c>
      <c r="E18" s="8" t="s">
        <v>91</v>
      </c>
      <c r="F18" s="8" t="s">
        <v>92</v>
      </c>
      <c r="G18" s="8" t="s">
        <v>93</v>
      </c>
      <c r="H18" s="6" t="s">
        <v>44</v>
      </c>
      <c r="I18" s="6"/>
      <c r="J18" s="6"/>
      <c r="K18" s="8"/>
    </row>
    <row r="19" spans="1:11" ht="60" customHeight="1" x14ac:dyDescent="0.25">
      <c r="A19" s="9">
        <v>4</v>
      </c>
      <c r="B19" s="10" t="s">
        <v>24</v>
      </c>
      <c r="C19" s="9">
        <v>4</v>
      </c>
      <c r="D19" s="10" t="s">
        <v>94</v>
      </c>
      <c r="E19" s="11" t="s">
        <v>87</v>
      </c>
      <c r="F19" s="11" t="s">
        <v>95</v>
      </c>
      <c r="G19" s="11" t="s">
        <v>96</v>
      </c>
      <c r="H19" s="9" t="s">
        <v>44</v>
      </c>
      <c r="I19" s="9"/>
      <c r="J19" s="9"/>
      <c r="K19" s="11"/>
    </row>
    <row r="20" spans="1:11" ht="60" customHeight="1" x14ac:dyDescent="0.25">
      <c r="A20" s="6">
        <v>4</v>
      </c>
      <c r="B20" s="7" t="s">
        <v>24</v>
      </c>
      <c r="C20" s="6">
        <v>5</v>
      </c>
      <c r="D20" s="7" t="s">
        <v>97</v>
      </c>
      <c r="E20" s="8" t="s">
        <v>98</v>
      </c>
      <c r="F20" s="8" t="s">
        <v>99</v>
      </c>
      <c r="G20" s="8" t="s">
        <v>100</v>
      </c>
      <c r="H20" s="6" t="s">
        <v>44</v>
      </c>
      <c r="I20" s="6"/>
      <c r="J20" s="6"/>
      <c r="K20" s="8"/>
    </row>
    <row r="21" spans="1:11" ht="60" customHeight="1" x14ac:dyDescent="0.25">
      <c r="A21" s="9">
        <v>4</v>
      </c>
      <c r="B21" s="10" t="s">
        <v>24</v>
      </c>
      <c r="C21" s="9">
        <v>6</v>
      </c>
      <c r="D21" s="10" t="s">
        <v>101</v>
      </c>
      <c r="E21" s="11" t="s">
        <v>102</v>
      </c>
      <c r="F21" s="11" t="s">
        <v>103</v>
      </c>
      <c r="G21" s="11" t="s">
        <v>104</v>
      </c>
      <c r="H21" s="9" t="s">
        <v>44</v>
      </c>
      <c r="I21" s="9"/>
      <c r="J21" s="9"/>
      <c r="K21" s="11"/>
    </row>
    <row r="22" spans="1:11" ht="90" customHeight="1" x14ac:dyDescent="0.25">
      <c r="A22" s="15" t="s">
        <v>105</v>
      </c>
      <c r="B22" s="14"/>
      <c r="C22" s="14"/>
      <c r="D22" s="14"/>
      <c r="E22" s="14"/>
      <c r="F22" s="14"/>
      <c r="G22" s="14"/>
      <c r="H22" s="14"/>
      <c r="I22" s="14"/>
      <c r="J22" s="14"/>
      <c r="K22" s="14"/>
    </row>
    <row r="23" spans="1:11" ht="60" customHeight="1" x14ac:dyDescent="0.25">
      <c r="A23" s="6">
        <v>5</v>
      </c>
      <c r="B23" s="7" t="s">
        <v>25</v>
      </c>
      <c r="C23" s="6">
        <v>1</v>
      </c>
      <c r="D23" s="7" t="s">
        <v>106</v>
      </c>
      <c r="E23" s="8" t="s">
        <v>107</v>
      </c>
      <c r="F23" s="8" t="s">
        <v>108</v>
      </c>
      <c r="G23" s="8" t="s">
        <v>109</v>
      </c>
      <c r="H23" s="6" t="s">
        <v>44</v>
      </c>
      <c r="I23" s="6"/>
      <c r="J23" s="6"/>
      <c r="K23" s="8"/>
    </row>
    <row r="24" spans="1:11" ht="60" customHeight="1" x14ac:dyDescent="0.25">
      <c r="A24" s="9">
        <v>5</v>
      </c>
      <c r="B24" s="10" t="s">
        <v>25</v>
      </c>
      <c r="C24" s="9">
        <v>2</v>
      </c>
      <c r="D24" s="10" t="s">
        <v>110</v>
      </c>
      <c r="E24" s="11" t="s">
        <v>111</v>
      </c>
      <c r="F24" s="11" t="s">
        <v>112</v>
      </c>
      <c r="G24" s="11" t="s">
        <v>113</v>
      </c>
      <c r="H24" s="9" t="s">
        <v>44</v>
      </c>
      <c r="I24" s="9"/>
      <c r="J24" s="9"/>
      <c r="K24" s="11"/>
    </row>
    <row r="25" spans="1:11" ht="90" customHeight="1" x14ac:dyDescent="0.25">
      <c r="A25" s="15" t="s">
        <v>114</v>
      </c>
      <c r="B25" s="14"/>
      <c r="C25" s="14"/>
      <c r="D25" s="14"/>
      <c r="E25" s="14"/>
      <c r="F25" s="14"/>
      <c r="G25" s="14"/>
      <c r="H25" s="14"/>
      <c r="I25" s="14"/>
      <c r="J25" s="14"/>
      <c r="K25" s="14"/>
    </row>
    <row r="26" spans="1:11" ht="60" customHeight="1" x14ac:dyDescent="0.25">
      <c r="A26" s="6">
        <v>6</v>
      </c>
      <c r="B26" s="7" t="s">
        <v>26</v>
      </c>
      <c r="C26" s="6">
        <v>1</v>
      </c>
      <c r="D26" s="7" t="s">
        <v>115</v>
      </c>
      <c r="E26" s="8" t="s">
        <v>116</v>
      </c>
      <c r="F26" s="8" t="s">
        <v>117</v>
      </c>
      <c r="G26" s="8" t="s">
        <v>118</v>
      </c>
      <c r="H26" s="6" t="s">
        <v>44</v>
      </c>
      <c r="I26" s="6"/>
      <c r="J26" s="6"/>
      <c r="K26" s="8"/>
    </row>
    <row r="27" spans="1:11" ht="60" customHeight="1" x14ac:dyDescent="0.25">
      <c r="A27" s="9">
        <v>6</v>
      </c>
      <c r="B27" s="10" t="s">
        <v>26</v>
      </c>
      <c r="C27" s="9">
        <v>2</v>
      </c>
      <c r="D27" s="10" t="s">
        <v>119</v>
      </c>
      <c r="E27" s="11" t="s">
        <v>120</v>
      </c>
      <c r="F27" s="11" t="s">
        <v>121</v>
      </c>
      <c r="G27" s="11" t="s">
        <v>122</v>
      </c>
      <c r="H27" s="9" t="s">
        <v>44</v>
      </c>
      <c r="I27" s="9"/>
      <c r="J27" s="9"/>
      <c r="K27" s="11"/>
    </row>
    <row r="28" spans="1:11" ht="60" customHeight="1" x14ac:dyDescent="0.25">
      <c r="A28" s="6">
        <v>6</v>
      </c>
      <c r="B28" s="7" t="s">
        <v>26</v>
      </c>
      <c r="C28" s="6">
        <v>3</v>
      </c>
      <c r="D28" s="7" t="s">
        <v>123</v>
      </c>
      <c r="E28" s="8" t="s">
        <v>124</v>
      </c>
      <c r="F28" s="8" t="s">
        <v>125</v>
      </c>
      <c r="G28" s="8" t="s">
        <v>126</v>
      </c>
      <c r="H28" s="6" t="s">
        <v>44</v>
      </c>
      <c r="I28" s="6"/>
      <c r="J28" s="6"/>
      <c r="K28" s="8"/>
    </row>
    <row r="29" spans="1:11" ht="90" customHeight="1" x14ac:dyDescent="0.25">
      <c r="A29" s="15" t="s">
        <v>127</v>
      </c>
      <c r="B29" s="14"/>
      <c r="C29" s="14"/>
      <c r="D29" s="14"/>
      <c r="E29" s="14"/>
      <c r="F29" s="14"/>
      <c r="G29" s="14"/>
      <c r="H29" s="14"/>
      <c r="I29" s="14"/>
      <c r="J29" s="14"/>
      <c r="K29" s="14"/>
    </row>
    <row r="30" spans="1:11" ht="60" customHeight="1" x14ac:dyDescent="0.25">
      <c r="A30" s="9">
        <v>7</v>
      </c>
      <c r="B30" s="10" t="s">
        <v>27</v>
      </c>
      <c r="C30" s="9">
        <v>1</v>
      </c>
      <c r="D30" s="10" t="s">
        <v>128</v>
      </c>
      <c r="E30" s="11" t="s">
        <v>129</v>
      </c>
      <c r="F30" s="11" t="s">
        <v>130</v>
      </c>
      <c r="G30" s="11" t="s">
        <v>131</v>
      </c>
      <c r="H30" s="9" t="s">
        <v>44</v>
      </c>
      <c r="I30" s="9"/>
      <c r="J30" s="9"/>
      <c r="K30" s="11"/>
    </row>
    <row r="31" spans="1:11" ht="60" customHeight="1" x14ac:dyDescent="0.25">
      <c r="A31" s="6">
        <v>7</v>
      </c>
      <c r="B31" s="7" t="s">
        <v>27</v>
      </c>
      <c r="C31" s="6">
        <v>2</v>
      </c>
      <c r="D31" s="7" t="s">
        <v>132</v>
      </c>
      <c r="E31" s="8" t="s">
        <v>133</v>
      </c>
      <c r="F31" s="8" t="s">
        <v>134</v>
      </c>
      <c r="G31" s="8" t="s">
        <v>135</v>
      </c>
      <c r="H31" s="6" t="s">
        <v>44</v>
      </c>
      <c r="I31" s="6"/>
      <c r="J31" s="6"/>
      <c r="K31" s="8"/>
    </row>
    <row r="32" spans="1:11" ht="60" customHeight="1" x14ac:dyDescent="0.25">
      <c r="A32" s="9">
        <v>7</v>
      </c>
      <c r="B32" s="10" t="s">
        <v>27</v>
      </c>
      <c r="C32" s="9">
        <v>3</v>
      </c>
      <c r="D32" s="10" t="s">
        <v>136</v>
      </c>
      <c r="E32" s="11" t="s">
        <v>137</v>
      </c>
      <c r="F32" s="11" t="s">
        <v>138</v>
      </c>
      <c r="G32" s="11" t="s">
        <v>139</v>
      </c>
      <c r="H32" s="9" t="s">
        <v>44</v>
      </c>
      <c r="I32" s="9"/>
      <c r="J32" s="9"/>
      <c r="K32" s="11"/>
    </row>
    <row r="33" spans="1:11" ht="60" customHeight="1" x14ac:dyDescent="0.25">
      <c r="A33" s="6">
        <v>7</v>
      </c>
      <c r="B33" s="7" t="s">
        <v>27</v>
      </c>
      <c r="C33" s="6">
        <v>4</v>
      </c>
      <c r="D33" s="7" t="s">
        <v>140</v>
      </c>
      <c r="E33" s="8" t="s">
        <v>141</v>
      </c>
      <c r="F33" s="8" t="s">
        <v>142</v>
      </c>
      <c r="G33" s="8" t="s">
        <v>143</v>
      </c>
      <c r="H33" s="6" t="s">
        <v>44</v>
      </c>
      <c r="I33" s="6"/>
      <c r="J33" s="6"/>
      <c r="K33" s="8"/>
    </row>
    <row r="34" spans="1:11" ht="60" customHeight="1" x14ac:dyDescent="0.25">
      <c r="A34" s="9">
        <v>7</v>
      </c>
      <c r="B34" s="10" t="s">
        <v>27</v>
      </c>
      <c r="C34" s="9">
        <v>5</v>
      </c>
      <c r="D34" s="10" t="s">
        <v>144</v>
      </c>
      <c r="E34" s="11" t="s">
        <v>145</v>
      </c>
      <c r="F34" s="11" t="s">
        <v>146</v>
      </c>
      <c r="G34" s="11" t="s">
        <v>147</v>
      </c>
      <c r="H34" s="9" t="s">
        <v>44</v>
      </c>
      <c r="I34" s="9"/>
      <c r="J34" s="9"/>
      <c r="K34" s="11"/>
    </row>
    <row r="35" spans="1:11" ht="90" customHeight="1" x14ac:dyDescent="0.25">
      <c r="A35" s="15" t="s">
        <v>148</v>
      </c>
      <c r="B35" s="14"/>
      <c r="C35" s="14"/>
      <c r="D35" s="14"/>
      <c r="E35" s="14"/>
      <c r="F35" s="14"/>
      <c r="G35" s="14"/>
      <c r="H35" s="14"/>
      <c r="I35" s="14"/>
      <c r="J35" s="14"/>
      <c r="K35" s="14"/>
    </row>
    <row r="36" spans="1:11" ht="60" customHeight="1" x14ac:dyDescent="0.25">
      <c r="A36" s="6">
        <v>8</v>
      </c>
      <c r="B36" s="7" t="s">
        <v>28</v>
      </c>
      <c r="C36" s="6">
        <v>1</v>
      </c>
      <c r="D36" s="7" t="s">
        <v>149</v>
      </c>
      <c r="E36" s="8" t="s">
        <v>150</v>
      </c>
      <c r="F36" s="8" t="s">
        <v>151</v>
      </c>
      <c r="G36" s="8" t="s">
        <v>152</v>
      </c>
      <c r="H36" s="6" t="s">
        <v>44</v>
      </c>
      <c r="I36" s="6"/>
      <c r="J36" s="6"/>
      <c r="K36" s="8"/>
    </row>
    <row r="37" spans="1:11" ht="60" customHeight="1" x14ac:dyDescent="0.25">
      <c r="A37" s="9">
        <v>8</v>
      </c>
      <c r="B37" s="10" t="s">
        <v>28</v>
      </c>
      <c r="C37" s="9">
        <v>2</v>
      </c>
      <c r="D37" s="10" t="s">
        <v>153</v>
      </c>
      <c r="E37" s="11" t="s">
        <v>154</v>
      </c>
      <c r="F37" s="11" t="s">
        <v>155</v>
      </c>
      <c r="G37" s="11" t="s">
        <v>156</v>
      </c>
      <c r="H37" s="9" t="s">
        <v>44</v>
      </c>
      <c r="I37" s="9"/>
      <c r="J37" s="9"/>
      <c r="K37" s="11"/>
    </row>
    <row r="38" spans="1:11" ht="60" customHeight="1" x14ac:dyDescent="0.25">
      <c r="A38" s="6">
        <v>8</v>
      </c>
      <c r="B38" s="7" t="s">
        <v>28</v>
      </c>
      <c r="C38" s="6">
        <v>3</v>
      </c>
      <c r="D38" s="7" t="s">
        <v>157</v>
      </c>
      <c r="E38" s="8" t="s">
        <v>158</v>
      </c>
      <c r="F38" s="8" t="s">
        <v>159</v>
      </c>
      <c r="G38" s="8" t="s">
        <v>160</v>
      </c>
      <c r="H38" s="6" t="s">
        <v>44</v>
      </c>
      <c r="I38" s="6"/>
      <c r="J38" s="6"/>
      <c r="K38" s="8"/>
    </row>
    <row r="39" spans="1:11" ht="60" customHeight="1" x14ac:dyDescent="0.25">
      <c r="A39" s="9">
        <v>8</v>
      </c>
      <c r="B39" s="10" t="s">
        <v>28</v>
      </c>
      <c r="C39" s="9">
        <v>4</v>
      </c>
      <c r="D39" s="10" t="s">
        <v>161</v>
      </c>
      <c r="E39" s="11" t="s">
        <v>162</v>
      </c>
      <c r="F39" s="11" t="s">
        <v>163</v>
      </c>
      <c r="G39" s="11" t="s">
        <v>164</v>
      </c>
      <c r="H39" s="9" t="s">
        <v>44</v>
      </c>
      <c r="I39" s="9"/>
      <c r="J39" s="9"/>
      <c r="K39" s="11"/>
    </row>
    <row r="40" spans="1:11" ht="60" customHeight="1" x14ac:dyDescent="0.25">
      <c r="A40" s="6">
        <v>8</v>
      </c>
      <c r="B40" s="7" t="s">
        <v>28</v>
      </c>
      <c r="C40" s="6">
        <v>5</v>
      </c>
      <c r="D40" s="7" t="s">
        <v>165</v>
      </c>
      <c r="E40" s="8" t="s">
        <v>166</v>
      </c>
      <c r="F40" s="8" t="s">
        <v>167</v>
      </c>
      <c r="G40" s="8" t="s">
        <v>168</v>
      </c>
      <c r="H40" s="6" t="s">
        <v>44</v>
      </c>
      <c r="I40" s="6"/>
      <c r="J40" s="6"/>
      <c r="K40" s="8"/>
    </row>
  </sheetData>
  <mergeCells count="8">
    <mergeCell ref="A2:K2"/>
    <mergeCell ref="A5:K5"/>
    <mergeCell ref="A8:K8"/>
    <mergeCell ref="A22:K22"/>
    <mergeCell ref="A35:K35"/>
    <mergeCell ref="A15:K15"/>
    <mergeCell ref="A29:K29"/>
    <mergeCell ref="A25:K25"/>
  </mergeCells>
  <dataValidations count="1">
    <dataValidation type="list" allowBlank="1" sqref="H2:H500" xr:uid="{00000000-0002-0000-0100-000000000000}">
      <formula1>"to be tested,passed,to be retested,failed,blocked,post-poned"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2"/>
  <sheetViews>
    <sheetView workbookViewId="0">
      <pane ySplit="1" topLeftCell="A15" activePane="bottomLeft" state="frozen"/>
      <selection pane="bottomLeft" activeCell="B2" sqref="B2"/>
    </sheetView>
  </sheetViews>
  <sheetFormatPr defaultRowHeight="15" x14ac:dyDescent="0.25"/>
  <cols>
    <col min="1" max="1" width="6" customWidth="1"/>
    <col min="2" max="2" width="24" customWidth="1"/>
    <col min="3" max="3" width="10" customWidth="1"/>
    <col min="4" max="4" width="34" customWidth="1"/>
    <col min="5" max="5" width="36" customWidth="1"/>
    <col min="6" max="7" width="52" customWidth="1"/>
    <col min="8" max="8" width="16" customWidth="1"/>
    <col min="9" max="9" width="14" customWidth="1"/>
    <col min="10" max="10" width="18" customWidth="1"/>
    <col min="11" max="11" width="32" customWidth="1"/>
  </cols>
  <sheetData>
    <row r="1" spans="1:11" ht="30" customHeight="1" x14ac:dyDescent="0.25">
      <c r="A1" s="5" t="s">
        <v>29</v>
      </c>
      <c r="B1" s="5" t="s">
        <v>16</v>
      </c>
      <c r="C1" s="5" t="s">
        <v>30</v>
      </c>
      <c r="D1" s="5" t="s">
        <v>31</v>
      </c>
      <c r="E1" s="5" t="s">
        <v>32</v>
      </c>
      <c r="F1" s="5" t="s">
        <v>33</v>
      </c>
      <c r="G1" s="5" t="s">
        <v>34</v>
      </c>
      <c r="H1" s="5" t="s">
        <v>35</v>
      </c>
      <c r="I1" s="5" t="s">
        <v>36</v>
      </c>
      <c r="J1" s="5" t="s">
        <v>37</v>
      </c>
      <c r="K1" s="5" t="s">
        <v>38</v>
      </c>
    </row>
    <row r="2" spans="1:11" ht="60" customHeight="1" x14ac:dyDescent="0.25">
      <c r="A2" s="6">
        <v>1</v>
      </c>
      <c r="B2" s="7" t="s">
        <v>21</v>
      </c>
      <c r="C2" s="6">
        <v>1</v>
      </c>
      <c r="D2" s="7" t="s">
        <v>169</v>
      </c>
      <c r="E2" s="8" t="s">
        <v>170</v>
      </c>
      <c r="F2" s="8" t="s">
        <v>171</v>
      </c>
      <c r="G2" s="8" t="s">
        <v>172</v>
      </c>
      <c r="H2" s="6" t="s">
        <v>44</v>
      </c>
      <c r="I2" s="6"/>
      <c r="J2" s="6"/>
      <c r="K2" s="8"/>
    </row>
    <row r="3" spans="1:11" ht="60" customHeight="1" x14ac:dyDescent="0.25">
      <c r="A3" s="9">
        <v>1</v>
      </c>
      <c r="B3" s="10" t="s">
        <v>21</v>
      </c>
      <c r="C3" s="9">
        <v>2</v>
      </c>
      <c r="D3" s="10" t="s">
        <v>173</v>
      </c>
      <c r="E3" s="11" t="s">
        <v>51</v>
      </c>
      <c r="F3" s="11" t="s">
        <v>174</v>
      </c>
      <c r="G3" s="11" t="s">
        <v>175</v>
      </c>
      <c r="H3" s="9" t="s">
        <v>44</v>
      </c>
      <c r="I3" s="9"/>
      <c r="J3" s="9"/>
      <c r="K3" s="11"/>
    </row>
    <row r="4" spans="1:11" ht="60" customHeight="1" x14ac:dyDescent="0.25">
      <c r="A4" s="6">
        <v>2</v>
      </c>
      <c r="B4" s="7" t="s">
        <v>22</v>
      </c>
      <c r="C4" s="6">
        <v>1</v>
      </c>
      <c r="D4" s="7" t="s">
        <v>176</v>
      </c>
      <c r="E4" s="8" t="s">
        <v>177</v>
      </c>
      <c r="F4" s="8" t="s">
        <v>178</v>
      </c>
      <c r="G4" s="8" t="s">
        <v>179</v>
      </c>
      <c r="H4" s="6" t="s">
        <v>44</v>
      </c>
      <c r="I4" s="6"/>
      <c r="J4" s="6"/>
      <c r="K4" s="8"/>
    </row>
    <row r="5" spans="1:11" ht="60" customHeight="1" x14ac:dyDescent="0.25">
      <c r="A5" s="9">
        <v>2</v>
      </c>
      <c r="B5" s="10" t="s">
        <v>22</v>
      </c>
      <c r="C5" s="9">
        <v>2</v>
      </c>
      <c r="D5" s="10" t="s">
        <v>180</v>
      </c>
      <c r="E5" s="11" t="s">
        <v>181</v>
      </c>
      <c r="F5" s="11" t="s">
        <v>182</v>
      </c>
      <c r="G5" s="11" t="s">
        <v>183</v>
      </c>
      <c r="H5" s="9" t="s">
        <v>44</v>
      </c>
      <c r="I5" s="9"/>
      <c r="J5" s="9"/>
      <c r="K5" s="11"/>
    </row>
    <row r="6" spans="1:11" ht="60" customHeight="1" x14ac:dyDescent="0.25">
      <c r="A6" s="6">
        <v>2</v>
      </c>
      <c r="B6" s="7" t="s">
        <v>22</v>
      </c>
      <c r="C6" s="6">
        <v>3</v>
      </c>
      <c r="D6" s="7" t="s">
        <v>184</v>
      </c>
      <c r="E6" s="8" t="s">
        <v>185</v>
      </c>
      <c r="F6" s="8" t="s">
        <v>186</v>
      </c>
      <c r="G6" s="8" t="s">
        <v>187</v>
      </c>
      <c r="H6" s="6" t="s">
        <v>44</v>
      </c>
      <c r="I6" s="6"/>
      <c r="J6" s="6"/>
      <c r="K6" s="8"/>
    </row>
    <row r="7" spans="1:11" ht="60" customHeight="1" x14ac:dyDescent="0.25">
      <c r="A7" s="9">
        <v>3</v>
      </c>
      <c r="B7" s="10" t="s">
        <v>23</v>
      </c>
      <c r="C7" s="9">
        <v>1</v>
      </c>
      <c r="D7" s="10" t="s">
        <v>188</v>
      </c>
      <c r="E7" s="11" t="s">
        <v>189</v>
      </c>
      <c r="F7" s="11" t="s">
        <v>190</v>
      </c>
      <c r="G7" s="11" t="s">
        <v>191</v>
      </c>
      <c r="H7" s="9" t="s">
        <v>44</v>
      </c>
      <c r="I7" s="9"/>
      <c r="J7" s="9"/>
      <c r="K7" s="11"/>
    </row>
    <row r="8" spans="1:11" ht="60" customHeight="1" x14ac:dyDescent="0.25">
      <c r="A8" s="6">
        <v>3</v>
      </c>
      <c r="B8" s="7" t="s">
        <v>23</v>
      </c>
      <c r="C8" s="6">
        <v>2</v>
      </c>
      <c r="D8" s="7" t="s">
        <v>192</v>
      </c>
      <c r="E8" s="8" t="s">
        <v>193</v>
      </c>
      <c r="F8" s="8" t="s">
        <v>194</v>
      </c>
      <c r="G8" s="8" t="s">
        <v>195</v>
      </c>
      <c r="H8" s="6" t="s">
        <v>44</v>
      </c>
      <c r="I8" s="6"/>
      <c r="J8" s="6"/>
      <c r="K8" s="8"/>
    </row>
    <row r="9" spans="1:11" ht="60" customHeight="1" x14ac:dyDescent="0.25">
      <c r="A9" s="9">
        <v>3</v>
      </c>
      <c r="B9" s="10" t="s">
        <v>23</v>
      </c>
      <c r="C9" s="9">
        <v>3</v>
      </c>
      <c r="D9" s="10" t="s">
        <v>196</v>
      </c>
      <c r="E9" s="11" t="s">
        <v>197</v>
      </c>
      <c r="F9" s="11" t="s">
        <v>198</v>
      </c>
      <c r="G9" s="11" t="s">
        <v>199</v>
      </c>
      <c r="H9" s="9" t="s">
        <v>44</v>
      </c>
      <c r="I9" s="9"/>
      <c r="J9" s="9"/>
      <c r="K9" s="11"/>
    </row>
    <row r="10" spans="1:11" ht="60" customHeight="1" x14ac:dyDescent="0.25">
      <c r="A10" s="6">
        <v>3</v>
      </c>
      <c r="B10" s="7" t="s">
        <v>23</v>
      </c>
      <c r="C10" s="6">
        <v>4</v>
      </c>
      <c r="D10" s="7" t="s">
        <v>200</v>
      </c>
      <c r="E10" s="8" t="s">
        <v>201</v>
      </c>
      <c r="F10" s="8" t="s">
        <v>202</v>
      </c>
      <c r="G10" s="8" t="s">
        <v>203</v>
      </c>
      <c r="H10" s="6" t="s">
        <v>44</v>
      </c>
      <c r="I10" s="6"/>
      <c r="J10" s="6"/>
      <c r="K10" s="8"/>
    </row>
    <row r="11" spans="1:11" ht="60" customHeight="1" x14ac:dyDescent="0.25">
      <c r="A11" s="9">
        <v>4</v>
      </c>
      <c r="B11" s="10" t="s">
        <v>24</v>
      </c>
      <c r="C11" s="9">
        <v>1</v>
      </c>
      <c r="D11" s="10" t="s">
        <v>204</v>
      </c>
      <c r="E11" s="11" t="s">
        <v>205</v>
      </c>
      <c r="F11" s="11" t="s">
        <v>206</v>
      </c>
      <c r="G11" s="11" t="s">
        <v>207</v>
      </c>
      <c r="H11" s="9" t="s">
        <v>44</v>
      </c>
      <c r="I11" s="9"/>
      <c r="J11" s="9"/>
      <c r="K11" s="11"/>
    </row>
    <row r="12" spans="1:11" ht="60" customHeight="1" x14ac:dyDescent="0.25">
      <c r="A12" s="6">
        <v>4</v>
      </c>
      <c r="B12" s="7" t="s">
        <v>24</v>
      </c>
      <c r="C12" s="6">
        <v>2</v>
      </c>
      <c r="D12" s="7" t="s">
        <v>208</v>
      </c>
      <c r="E12" s="8" t="s">
        <v>209</v>
      </c>
      <c r="F12" s="8" t="s">
        <v>210</v>
      </c>
      <c r="G12" s="8" t="s">
        <v>211</v>
      </c>
      <c r="H12" s="6" t="s">
        <v>44</v>
      </c>
      <c r="I12" s="6"/>
      <c r="J12" s="6"/>
      <c r="K12" s="8"/>
    </row>
    <row r="13" spans="1:11" ht="60" customHeight="1" x14ac:dyDescent="0.25">
      <c r="A13" s="9">
        <v>4</v>
      </c>
      <c r="B13" s="10" t="s">
        <v>24</v>
      </c>
      <c r="C13" s="9">
        <v>3</v>
      </c>
      <c r="D13" s="10" t="s">
        <v>212</v>
      </c>
      <c r="E13" s="11" t="s">
        <v>213</v>
      </c>
      <c r="F13" s="11" t="s">
        <v>214</v>
      </c>
      <c r="G13" s="11" t="s">
        <v>215</v>
      </c>
      <c r="H13" s="9" t="s">
        <v>44</v>
      </c>
      <c r="I13" s="9"/>
      <c r="J13" s="9"/>
      <c r="K13" s="11"/>
    </row>
    <row r="14" spans="1:11" ht="60" customHeight="1" x14ac:dyDescent="0.25">
      <c r="A14" s="6">
        <v>4</v>
      </c>
      <c r="B14" s="7" t="s">
        <v>24</v>
      </c>
      <c r="C14" s="6">
        <v>4</v>
      </c>
      <c r="D14" s="7" t="s">
        <v>216</v>
      </c>
      <c r="E14" s="8" t="s">
        <v>217</v>
      </c>
      <c r="F14" s="8" t="s">
        <v>218</v>
      </c>
      <c r="G14" s="8" t="s">
        <v>219</v>
      </c>
      <c r="H14" s="6" t="s">
        <v>44</v>
      </c>
      <c r="I14" s="6"/>
      <c r="J14" s="6"/>
      <c r="K14" s="8"/>
    </row>
    <row r="15" spans="1:11" ht="60" customHeight="1" x14ac:dyDescent="0.25">
      <c r="A15" s="9">
        <v>5</v>
      </c>
      <c r="B15" s="10" t="s">
        <v>25</v>
      </c>
      <c r="C15" s="9">
        <v>1</v>
      </c>
      <c r="D15" s="10" t="s">
        <v>220</v>
      </c>
      <c r="E15" s="11" t="s">
        <v>221</v>
      </c>
      <c r="F15" s="11" t="s">
        <v>222</v>
      </c>
      <c r="G15" s="11" t="s">
        <v>223</v>
      </c>
      <c r="H15" s="9" t="s">
        <v>44</v>
      </c>
      <c r="I15" s="9"/>
      <c r="J15" s="9"/>
      <c r="K15" s="11"/>
    </row>
    <row r="16" spans="1:11" ht="60" customHeight="1" x14ac:dyDescent="0.25">
      <c r="A16" s="6">
        <v>6</v>
      </c>
      <c r="B16" s="7" t="s">
        <v>26</v>
      </c>
      <c r="C16" s="6">
        <v>1</v>
      </c>
      <c r="D16" s="7" t="s">
        <v>224</v>
      </c>
      <c r="E16" s="8" t="s">
        <v>225</v>
      </c>
      <c r="F16" s="8" t="s">
        <v>226</v>
      </c>
      <c r="G16" s="8" t="s">
        <v>227</v>
      </c>
      <c r="H16" s="6" t="s">
        <v>44</v>
      </c>
      <c r="I16" s="6"/>
      <c r="J16" s="6"/>
      <c r="K16" s="8"/>
    </row>
    <row r="17" spans="1:11" ht="60" customHeight="1" x14ac:dyDescent="0.25">
      <c r="A17" s="9">
        <v>6</v>
      </c>
      <c r="B17" s="10" t="s">
        <v>26</v>
      </c>
      <c r="C17" s="9">
        <v>2</v>
      </c>
      <c r="D17" s="10" t="s">
        <v>228</v>
      </c>
      <c r="E17" s="11" t="s">
        <v>229</v>
      </c>
      <c r="F17" s="11" t="s">
        <v>230</v>
      </c>
      <c r="G17" s="11" t="s">
        <v>231</v>
      </c>
      <c r="H17" s="9" t="s">
        <v>44</v>
      </c>
      <c r="I17" s="9"/>
      <c r="J17" s="9"/>
      <c r="K17" s="11"/>
    </row>
    <row r="18" spans="1:11" ht="60" customHeight="1" x14ac:dyDescent="0.25">
      <c r="A18" s="6">
        <v>7</v>
      </c>
      <c r="B18" s="7" t="s">
        <v>27</v>
      </c>
      <c r="C18" s="6">
        <v>1</v>
      </c>
      <c r="D18" s="7" t="s">
        <v>232</v>
      </c>
      <c r="E18" s="8" t="s">
        <v>233</v>
      </c>
      <c r="F18" s="8" t="s">
        <v>234</v>
      </c>
      <c r="G18" s="8" t="s">
        <v>235</v>
      </c>
      <c r="H18" s="6" t="s">
        <v>44</v>
      </c>
      <c r="I18" s="6"/>
      <c r="J18" s="6"/>
      <c r="K18" s="8"/>
    </row>
    <row r="19" spans="1:11" ht="60" customHeight="1" x14ac:dyDescent="0.25">
      <c r="A19" s="9">
        <v>7</v>
      </c>
      <c r="B19" s="10" t="s">
        <v>27</v>
      </c>
      <c r="C19" s="9">
        <v>2</v>
      </c>
      <c r="D19" s="10" t="s">
        <v>236</v>
      </c>
      <c r="E19" s="11" t="s">
        <v>237</v>
      </c>
      <c r="F19" s="11" t="s">
        <v>238</v>
      </c>
      <c r="G19" s="11" t="s">
        <v>239</v>
      </c>
      <c r="H19" s="9" t="s">
        <v>44</v>
      </c>
      <c r="I19" s="9"/>
      <c r="J19" s="9"/>
      <c r="K19" s="11"/>
    </row>
    <row r="20" spans="1:11" ht="60" customHeight="1" x14ac:dyDescent="0.25">
      <c r="A20" s="6">
        <v>8</v>
      </c>
      <c r="B20" s="7" t="s">
        <v>28</v>
      </c>
      <c r="C20" s="6">
        <v>1</v>
      </c>
      <c r="D20" s="7" t="s">
        <v>240</v>
      </c>
      <c r="E20" s="8" t="s">
        <v>241</v>
      </c>
      <c r="F20" s="8" t="s">
        <v>242</v>
      </c>
      <c r="G20" s="8" t="s">
        <v>243</v>
      </c>
      <c r="H20" s="6" t="s">
        <v>44</v>
      </c>
      <c r="I20" s="6"/>
      <c r="J20" s="6"/>
      <c r="K20" s="8"/>
    </row>
    <row r="21" spans="1:11" ht="60" customHeight="1" x14ac:dyDescent="0.25">
      <c r="A21" s="9">
        <v>8</v>
      </c>
      <c r="B21" s="10" t="s">
        <v>28</v>
      </c>
      <c r="C21" s="9">
        <v>2</v>
      </c>
      <c r="D21" s="10" t="s">
        <v>244</v>
      </c>
      <c r="E21" s="11" t="s">
        <v>245</v>
      </c>
      <c r="F21" s="11" t="s">
        <v>246</v>
      </c>
      <c r="G21" s="11" t="s">
        <v>247</v>
      </c>
      <c r="H21" s="9" t="s">
        <v>44</v>
      </c>
      <c r="I21" s="9"/>
      <c r="J21" s="9"/>
      <c r="K21" s="11"/>
    </row>
    <row r="22" spans="1:11" ht="60" customHeight="1" x14ac:dyDescent="0.25">
      <c r="A22" s="6">
        <v>8</v>
      </c>
      <c r="B22" s="7" t="s">
        <v>28</v>
      </c>
      <c r="C22" s="6">
        <v>3</v>
      </c>
      <c r="D22" s="7" t="s">
        <v>248</v>
      </c>
      <c r="E22" s="8" t="s">
        <v>249</v>
      </c>
      <c r="F22" s="8" t="s">
        <v>250</v>
      </c>
      <c r="G22" s="8" t="s">
        <v>251</v>
      </c>
      <c r="H22" s="6" t="s">
        <v>44</v>
      </c>
      <c r="I22" s="6"/>
      <c r="J22" s="6"/>
      <c r="K22" s="8"/>
    </row>
  </sheetData>
  <dataValidations count="1">
    <dataValidation type="list" allowBlank="1" sqref="H2:H500" xr:uid="{00000000-0002-0000-0200-000000000000}">
      <formula1>"to be tested,passed,to be retested,failed,blocked,post-poned"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workbookViewId="0"/>
  </sheetViews>
  <sheetFormatPr defaultRowHeight="15" x14ac:dyDescent="0.25"/>
  <sheetData>
    <row r="1" spans="1:5" x14ac:dyDescent="0.25">
      <c r="A1" s="12" t="s">
        <v>252</v>
      </c>
      <c r="C1" s="12" t="s">
        <v>253</v>
      </c>
      <c r="E1" s="12" t="s">
        <v>254</v>
      </c>
    </row>
    <row r="2" spans="1:5" x14ac:dyDescent="0.25">
      <c r="A2" t="s">
        <v>44</v>
      </c>
      <c r="C2" t="s">
        <v>255</v>
      </c>
      <c r="E2" t="s">
        <v>256</v>
      </c>
    </row>
    <row r="3" spans="1:5" x14ac:dyDescent="0.25">
      <c r="A3" t="s">
        <v>257</v>
      </c>
      <c r="C3" t="s">
        <v>258</v>
      </c>
      <c r="E3" t="s">
        <v>259</v>
      </c>
    </row>
    <row r="4" spans="1:5" x14ac:dyDescent="0.25">
      <c r="A4" t="s">
        <v>260</v>
      </c>
      <c r="C4" t="s">
        <v>261</v>
      </c>
      <c r="E4" t="s">
        <v>262</v>
      </c>
    </row>
    <row r="5" spans="1:5" x14ac:dyDescent="0.25">
      <c r="A5" t="s">
        <v>263</v>
      </c>
      <c r="C5" t="s">
        <v>44</v>
      </c>
      <c r="E5" t="s">
        <v>264</v>
      </c>
    </row>
    <row r="6" spans="1:5" x14ac:dyDescent="0.25">
      <c r="A6" t="s">
        <v>265</v>
      </c>
      <c r="C6" t="s">
        <v>266</v>
      </c>
    </row>
    <row r="7" spans="1:5" x14ac:dyDescent="0.25">
      <c r="A7" t="s">
        <v>267</v>
      </c>
    </row>
  </sheetData>
  <pageMargins left="0.75" right="0.75" top="1" bottom="1" header="0.5" footer="0.5"/>
</worksheet>
</file>

<file path=docMetadata/LabelInfo.xml><?xml version="1.0" encoding="utf-8"?>
<clbl:labelList xmlns:clbl="http://schemas.microsoft.com/office/2020/mipLabelMetadata">
  <clbl:label id="{a42e5409-0ade-4beb-8099-84afd4e0f1ec}" enabled="0" method="" siteId="{a42e5409-0ade-4beb-8099-84afd4e0f1e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 book - Funzionale</vt:lpstr>
      <vt:lpstr>Test book - Tecnico</vt:lpstr>
      <vt:lpstr>Data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Mattia Ferravante</cp:lastModifiedBy>
  <dcterms:created xsi:type="dcterms:W3CDTF">2026-06-30T10:09:36Z</dcterms:created>
  <dcterms:modified xsi:type="dcterms:W3CDTF">2026-06-30T10:31:39Z</dcterms:modified>
</cp:coreProperties>
</file>